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rvish\Desktop\DS Using SAS &amp; Python\Docs\"/>
    </mc:Choice>
  </mc:AlternateContent>
  <xr:revisionPtr revIDLastSave="0" documentId="13_ncr:1_{E77B42CD-3736-4053-8144-6AEAA6B70766}" xr6:coauthVersionLast="45" xr6:coauthVersionMax="45" xr10:uidLastSave="{00000000-0000-0000-0000-000000000000}"/>
  <bookViews>
    <workbookView xWindow="-108" yWindow="-108" windowWidth="23256" windowHeight="12576" xr2:uid="{D1E2318E-525A-46DA-8469-48E7C5A61E6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6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" i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2" i="2"/>
  <c r="F32" i="2"/>
  <c r="F33" i="2"/>
  <c r="G33" i="2" s="1"/>
  <c r="H33" i="2" s="1"/>
  <c r="F34" i="2"/>
  <c r="G34" i="2" s="1"/>
  <c r="H34" i="2" s="1"/>
  <c r="F35" i="2"/>
  <c r="G35" i="2" s="1"/>
  <c r="H35" i="2" s="1"/>
  <c r="F36" i="2"/>
  <c r="G36" i="2" s="1"/>
  <c r="H36" i="2" s="1"/>
  <c r="F37" i="2"/>
  <c r="G37" i="2" s="1"/>
  <c r="H37" i="2" s="1"/>
  <c r="F38" i="2"/>
  <c r="G38" i="2" s="1"/>
  <c r="H38" i="2" s="1"/>
  <c r="F39" i="2"/>
  <c r="G39" i="2" s="1"/>
  <c r="H39" i="2" s="1"/>
  <c r="F40" i="2"/>
  <c r="G40" i="2" s="1"/>
  <c r="H40" i="2" s="1"/>
  <c r="F41" i="2"/>
  <c r="G41" i="2" s="1"/>
  <c r="H41" i="2" s="1"/>
  <c r="F42" i="2"/>
  <c r="G42" i="2" s="1"/>
  <c r="H42" i="2" s="1"/>
  <c r="F43" i="2"/>
  <c r="G43" i="2" s="1"/>
  <c r="H43" i="2" s="1"/>
  <c r="F44" i="2"/>
  <c r="G44" i="2" s="1"/>
  <c r="H44" i="2" s="1"/>
  <c r="F45" i="2"/>
  <c r="G45" i="2" s="1"/>
  <c r="H45" i="2" s="1"/>
  <c r="F46" i="2"/>
  <c r="G46" i="2" s="1"/>
  <c r="H46" i="2" s="1"/>
  <c r="F47" i="2"/>
  <c r="G47" i="2" s="1"/>
  <c r="H47" i="2" s="1"/>
  <c r="F48" i="2"/>
  <c r="G48" i="2" s="1"/>
  <c r="H48" i="2" s="1"/>
  <c r="F49" i="2"/>
  <c r="G49" i="2" s="1"/>
  <c r="H49" i="2" s="1"/>
  <c r="F50" i="2"/>
  <c r="G50" i="2" s="1"/>
  <c r="H50" i="2" s="1"/>
  <c r="F51" i="2"/>
  <c r="G51" i="2" s="1"/>
  <c r="H51" i="2" s="1"/>
  <c r="F52" i="2"/>
  <c r="G52" i="2" s="1"/>
  <c r="H52" i="2" s="1"/>
  <c r="F53" i="2"/>
  <c r="G53" i="2" s="1"/>
  <c r="H53" i="2" s="1"/>
  <c r="F54" i="2"/>
  <c r="G54" i="2" s="1"/>
  <c r="H54" i="2" s="1"/>
  <c r="F55" i="2"/>
  <c r="G55" i="2" s="1"/>
  <c r="H55" i="2" s="1"/>
  <c r="F56" i="2"/>
  <c r="G56" i="2" s="1"/>
  <c r="H56" i="2" s="1"/>
  <c r="F57" i="2"/>
  <c r="G57" i="2" s="1"/>
  <c r="H57" i="2" s="1"/>
  <c r="F58" i="2"/>
  <c r="G58" i="2" s="1"/>
  <c r="H58" i="2" s="1"/>
  <c r="F59" i="2"/>
  <c r="G59" i="2" s="1"/>
  <c r="H59" i="2" s="1"/>
  <c r="F60" i="2"/>
  <c r="G60" i="2" s="1"/>
  <c r="H60" i="2" s="1"/>
  <c r="F61" i="2"/>
  <c r="G61" i="2" s="1"/>
  <c r="H61" i="2" s="1"/>
  <c r="F62" i="2"/>
  <c r="G62" i="2" s="1"/>
  <c r="H62" i="2" s="1"/>
  <c r="F31" i="2"/>
  <c r="F30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2" i="2"/>
  <c r="E30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2" i="2"/>
  <c r="D26" i="1" l="1"/>
  <c r="C31" i="1"/>
  <c r="D37" i="1" s="1"/>
  <c r="E37" i="1" s="1"/>
  <c r="C26" i="1"/>
  <c r="D27" i="1" s="1"/>
  <c r="E27" i="1" s="1"/>
  <c r="G3" i="1"/>
  <c r="G2" i="1"/>
  <c r="B30" i="1"/>
  <c r="C30" i="1" s="1"/>
  <c r="D30" i="1" s="1"/>
  <c r="E30" i="1" s="1"/>
  <c r="E10" i="1"/>
  <c r="F10" i="1" s="1"/>
  <c r="G10" i="1" s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" i="1"/>
  <c r="F2" i="1" s="1"/>
  <c r="G6" i="1" s="1"/>
  <c r="D33" i="1" l="1"/>
  <c r="E33" i="1" s="1"/>
  <c r="D29" i="1"/>
  <c r="E29" i="1" s="1"/>
  <c r="D42" i="1"/>
  <c r="E42" i="1" s="1"/>
  <c r="D32" i="1"/>
  <c r="E32" i="1" s="1"/>
  <c r="D44" i="1"/>
  <c r="E44" i="1" s="1"/>
  <c r="D36" i="1"/>
  <c r="E36" i="1" s="1"/>
  <c r="D41" i="1"/>
  <c r="E41" i="1" s="1"/>
  <c r="D40" i="1"/>
  <c r="E40" i="1" s="1"/>
  <c r="D39" i="1"/>
  <c r="E39" i="1" s="1"/>
  <c r="D31" i="1"/>
  <c r="E31" i="1" s="1"/>
  <c r="D38" i="1"/>
  <c r="E38" i="1" s="1"/>
  <c r="D43" i="1"/>
  <c r="E43" i="1" s="1"/>
  <c r="D28" i="1"/>
  <c r="E28" i="1" s="1"/>
  <c r="D34" i="1"/>
  <c r="E34" i="1" s="1"/>
  <c r="D35" i="1"/>
  <c r="E35" i="1" s="1"/>
  <c r="D45" i="1"/>
  <c r="E45" i="1" s="1"/>
  <c r="F11" i="1"/>
  <c r="G18" i="1" s="1"/>
  <c r="G19" i="1"/>
  <c r="G12" i="1"/>
  <c r="G20" i="1"/>
  <c r="G21" i="1"/>
  <c r="G14" i="1"/>
  <c r="G11" i="1"/>
  <c r="G15" i="1"/>
  <c r="G16" i="1"/>
  <c r="G5" i="1"/>
  <c r="G4" i="1"/>
  <c r="G8" i="1"/>
  <c r="G7" i="1"/>
  <c r="G9" i="1"/>
  <c r="G13" i="1" l="1"/>
  <c r="G1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Urvish</author>
  </authors>
  <commentList>
    <comment ref="C1" authorId="0" shapeId="0" xr:uid="{B845E553-8EDC-43A2-867B-C4E527E802A3}">
      <text>
        <r>
          <rPr>
            <b/>
            <sz val="9"/>
            <color indexed="81"/>
            <rFont val="Tahoma"/>
            <charset val="1"/>
          </rPr>
          <t>Urvish:</t>
        </r>
        <r>
          <rPr>
            <sz val="9"/>
            <color indexed="81"/>
            <rFont val="Tahoma"/>
            <charset val="1"/>
          </rPr>
          <t xml:space="preserve">
Initial Estimates</t>
        </r>
      </text>
    </comment>
    <comment ref="D1" authorId="0" shapeId="0" xr:uid="{B13182CA-6557-4C59-BA29-8848CFD7944C}">
      <text>
        <r>
          <rPr>
            <b/>
            <sz val="9"/>
            <color indexed="81"/>
            <rFont val="Tahoma"/>
            <charset val="1"/>
          </rPr>
          <t>Urvish:</t>
        </r>
        <r>
          <rPr>
            <sz val="9"/>
            <color indexed="81"/>
            <rFont val="Tahoma"/>
            <charset val="1"/>
          </rPr>
          <t xml:space="preserve">
Calculate Initla Error</t>
        </r>
      </text>
    </comment>
    <comment ref="E1" authorId="0" shapeId="0" xr:uid="{4AC8872A-83DA-4826-A524-F23B1B835103}">
      <text>
        <r>
          <rPr>
            <b/>
            <sz val="9"/>
            <color indexed="81"/>
            <rFont val="Tahoma"/>
            <charset val="1"/>
          </rPr>
          <t>Urvish:</t>
        </r>
        <r>
          <rPr>
            <sz val="9"/>
            <color indexed="81"/>
            <rFont val="Tahoma"/>
            <charset val="1"/>
          </rPr>
          <t xml:space="preserve">
Split the data into groups by using Decision Tree</t>
        </r>
      </text>
    </comment>
    <comment ref="F1" authorId="0" shapeId="0" xr:uid="{59BD6F2A-F043-4AAD-B6BB-EBDE76369F02}">
      <text>
        <r>
          <rPr>
            <b/>
            <sz val="9"/>
            <color indexed="81"/>
            <rFont val="Tahoma"/>
            <charset val="1"/>
          </rPr>
          <t>Urvish:</t>
        </r>
        <r>
          <rPr>
            <sz val="9"/>
            <color indexed="81"/>
            <rFont val="Tahoma"/>
            <charset val="1"/>
          </rPr>
          <t xml:space="preserve">
For each group, find the average error</t>
        </r>
      </text>
    </comment>
    <comment ref="G1" authorId="0" shapeId="0" xr:uid="{C5786B68-FD4A-4374-B252-B926D8FA1C8F}">
      <text>
        <r>
          <rPr>
            <b/>
            <sz val="9"/>
            <color indexed="81"/>
            <rFont val="Tahoma"/>
            <charset val="1"/>
          </rPr>
          <t>Urvish:</t>
        </r>
        <r>
          <rPr>
            <sz val="9"/>
            <color indexed="81"/>
            <rFont val="Tahoma"/>
            <charset val="1"/>
          </rPr>
          <t xml:space="preserve">
Adjust Current Prediction
that is add step 1 + step 4
Actual Predicion at Iteration 1</t>
        </r>
      </text>
    </comment>
    <comment ref="H1" authorId="0" shapeId="0" xr:uid="{07E0B143-F282-45D2-B183-03514EA6F9F2}">
      <text>
        <r>
          <rPr>
            <b/>
            <sz val="9"/>
            <color indexed="81"/>
            <rFont val="Tahoma"/>
            <charset val="1"/>
          </rPr>
          <t>Urvish:</t>
        </r>
        <r>
          <rPr>
            <sz val="9"/>
            <color indexed="81"/>
            <rFont val="Tahoma"/>
            <charset val="1"/>
          </rPr>
          <t xml:space="preserve">
Calculate the new error
that is Y - step 5</t>
        </r>
      </text>
    </comment>
    <comment ref="F2" authorId="0" shapeId="0" xr:uid="{79ECBF6F-F91A-4155-BCEB-820C307EC4CA}">
      <text>
        <r>
          <rPr>
            <b/>
            <sz val="9"/>
            <color indexed="81"/>
            <rFont val="Tahoma"/>
            <charset val="1"/>
          </rPr>
          <t>Urvish:</t>
        </r>
        <r>
          <rPr>
            <sz val="9"/>
            <color indexed="81"/>
            <rFont val="Tahoma"/>
            <charset val="1"/>
          </rPr>
          <t xml:space="preserve">
Average of all data points left to X &lt; 2.06</t>
        </r>
      </text>
    </comment>
    <comment ref="E10" authorId="0" shapeId="0" xr:uid="{BEC214CF-6526-4066-966E-5299C900884B}">
      <text>
        <r>
          <rPr>
            <b/>
            <sz val="9"/>
            <color indexed="81"/>
            <rFont val="Tahoma"/>
            <charset val="1"/>
          </rPr>
          <t>Urvish:</t>
        </r>
        <r>
          <rPr>
            <sz val="9"/>
            <color indexed="81"/>
            <rFont val="Tahoma"/>
            <charset val="1"/>
          </rPr>
          <t xml:space="preserve">
Split point. That is data points with X &lt; 2.06 and data points X &gt; 2.06</t>
        </r>
      </text>
    </comment>
    <comment ref="F11" authorId="0" shapeId="0" xr:uid="{CD429E09-4A85-443C-BC91-93FEA7F05BDE}">
      <text>
        <r>
          <rPr>
            <b/>
            <sz val="9"/>
            <color indexed="81"/>
            <rFont val="Tahoma"/>
            <charset val="1"/>
          </rPr>
          <t>Urvish:</t>
        </r>
        <r>
          <rPr>
            <sz val="9"/>
            <color indexed="81"/>
            <rFont val="Tahoma"/>
            <charset val="1"/>
          </rPr>
          <t xml:space="preserve">
Average of all data points left to X &gt; 2.06</t>
        </r>
      </text>
    </comment>
    <comment ref="A25" authorId="0" shapeId="0" xr:uid="{6D46381A-C068-49A9-B9A3-EB97FBCD2382}">
      <text>
        <r>
          <rPr>
            <b/>
            <sz val="9"/>
            <color indexed="81"/>
            <rFont val="Tahoma"/>
            <family val="2"/>
          </rPr>
          <t>Urvish:</t>
        </r>
        <r>
          <rPr>
            <sz val="9"/>
            <color indexed="81"/>
            <rFont val="Tahoma"/>
            <family val="2"/>
          </rPr>
          <t xml:space="preserve">
Error from Iteration 1</t>
        </r>
      </text>
    </comment>
    <comment ref="B25" authorId="0" shapeId="0" xr:uid="{EA4C7AA2-6326-4344-8045-199EDFCE9723}">
      <text>
        <r>
          <rPr>
            <b/>
            <sz val="9"/>
            <color indexed="81"/>
            <rFont val="Tahoma"/>
            <family val="2"/>
          </rPr>
          <t>Urvish:</t>
        </r>
        <r>
          <rPr>
            <sz val="9"/>
            <color indexed="81"/>
            <rFont val="Tahoma"/>
            <family val="2"/>
          </rPr>
          <t xml:space="preserve">
Split the data into groups by using Decision Tree</t>
        </r>
      </text>
    </comment>
    <comment ref="C25" authorId="0" shapeId="0" xr:uid="{6330D898-B839-4463-B0A0-74FB6BF18CEC}">
      <text>
        <r>
          <rPr>
            <b/>
            <sz val="9"/>
            <color indexed="81"/>
            <rFont val="Tahoma"/>
            <charset val="1"/>
          </rPr>
          <t>Urvish:</t>
        </r>
        <r>
          <rPr>
            <sz val="9"/>
            <color indexed="81"/>
            <rFont val="Tahoma"/>
            <charset val="1"/>
          </rPr>
          <t xml:space="preserve">
For each group, find the average error</t>
        </r>
      </text>
    </comment>
    <comment ref="D25" authorId="0" shapeId="0" xr:uid="{FD5F1B1F-9E25-4FE7-AE32-FA966011C57F}">
      <text>
        <r>
          <rPr>
            <b/>
            <sz val="9"/>
            <color indexed="81"/>
            <rFont val="Tahoma"/>
            <charset val="1"/>
          </rPr>
          <t>Urvish:</t>
        </r>
        <r>
          <rPr>
            <sz val="9"/>
            <color indexed="81"/>
            <rFont val="Tahoma"/>
            <charset val="1"/>
          </rPr>
          <t xml:space="preserve">
Adjust Current Prediction
that is add step 5 from iteration 1 + step 4
Actual Predicion at Iteration 2</t>
        </r>
      </text>
    </comment>
    <comment ref="E25" authorId="0" shapeId="0" xr:uid="{6EC3EEEF-BF3B-490B-B3F4-93CD796CDEA8}">
      <text>
        <r>
          <rPr>
            <b/>
            <sz val="9"/>
            <color indexed="81"/>
            <rFont val="Tahoma"/>
            <charset val="1"/>
          </rPr>
          <t>Urvish:</t>
        </r>
        <r>
          <rPr>
            <sz val="9"/>
            <color indexed="81"/>
            <rFont val="Tahoma"/>
            <charset val="1"/>
          </rPr>
          <t xml:space="preserve">
Calculate the new error
that is Y - step 5</t>
        </r>
      </text>
    </comment>
    <comment ref="C26" authorId="0" shapeId="0" xr:uid="{0DC152E7-6B38-4360-92F4-1B9BA01025A6}">
      <text>
        <r>
          <rPr>
            <b/>
            <sz val="9"/>
            <color indexed="81"/>
            <rFont val="Tahoma"/>
            <family val="2"/>
          </rPr>
          <t>Urvish:</t>
        </r>
        <r>
          <rPr>
            <sz val="9"/>
            <color indexed="81"/>
            <rFont val="Tahoma"/>
            <family val="2"/>
          </rPr>
          <t xml:space="preserve">
Average of all data points left to step 6 &lt; -1.42</t>
        </r>
      </text>
    </comment>
    <comment ref="C31" authorId="0" shapeId="0" xr:uid="{DAC515AB-547D-4DB5-8EA4-D3E8E9AF36BA}">
      <text>
        <r>
          <rPr>
            <b/>
            <sz val="9"/>
            <color indexed="81"/>
            <rFont val="Tahoma"/>
            <family val="2"/>
          </rPr>
          <t>Urvish:</t>
        </r>
        <r>
          <rPr>
            <sz val="9"/>
            <color indexed="81"/>
            <rFont val="Tahoma"/>
            <family val="2"/>
          </rPr>
          <t xml:space="preserve">
Average of all data points left to step 6 &gt; -1.42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Urvish</author>
  </authors>
  <commentList>
    <comment ref="C1" authorId="0" shapeId="0" xr:uid="{12B5E10B-7DB8-47EE-9127-4B873B56F816}">
      <text>
        <r>
          <rPr>
            <b/>
            <sz val="9"/>
            <color indexed="81"/>
            <rFont val="Tahoma"/>
            <charset val="1"/>
          </rPr>
          <t>Urvish:</t>
        </r>
        <r>
          <rPr>
            <sz val="9"/>
            <color indexed="81"/>
            <rFont val="Tahoma"/>
            <charset val="1"/>
          </rPr>
          <t xml:space="preserve">
Initial Estimates</t>
        </r>
      </text>
    </comment>
    <comment ref="D1" authorId="0" shapeId="0" xr:uid="{F7A9059B-7442-4D59-AC57-056B68A31F3B}">
      <text>
        <r>
          <rPr>
            <b/>
            <sz val="9"/>
            <color indexed="81"/>
            <rFont val="Tahoma"/>
            <charset val="1"/>
          </rPr>
          <t>Urvish:</t>
        </r>
        <r>
          <rPr>
            <sz val="9"/>
            <color indexed="81"/>
            <rFont val="Tahoma"/>
            <charset val="1"/>
          </rPr>
          <t xml:space="preserve">
Calculate Initla Error</t>
        </r>
      </text>
    </comment>
    <comment ref="E1" authorId="0" shapeId="0" xr:uid="{CA43B255-7774-43AF-9FB4-8131D1F3F38A}">
      <text>
        <r>
          <rPr>
            <b/>
            <sz val="9"/>
            <color indexed="81"/>
            <rFont val="Tahoma"/>
            <charset val="1"/>
          </rPr>
          <t>Urvish:</t>
        </r>
        <r>
          <rPr>
            <sz val="9"/>
            <color indexed="81"/>
            <rFont val="Tahoma"/>
            <charset val="1"/>
          </rPr>
          <t xml:space="preserve">
Split the data into groups by using Decision Tree</t>
        </r>
      </text>
    </comment>
    <comment ref="F1" authorId="0" shapeId="0" xr:uid="{0024D610-F705-4C66-BFB3-449C08471542}">
      <text>
        <r>
          <rPr>
            <b/>
            <sz val="9"/>
            <color indexed="81"/>
            <rFont val="Tahoma"/>
            <charset val="1"/>
          </rPr>
          <t>Urvish:</t>
        </r>
        <r>
          <rPr>
            <sz val="9"/>
            <color indexed="81"/>
            <rFont val="Tahoma"/>
            <charset val="1"/>
          </rPr>
          <t xml:space="preserve">
For each group, find the average error</t>
        </r>
      </text>
    </comment>
    <comment ref="G1" authorId="0" shapeId="0" xr:uid="{2259C9A5-21ED-46F9-A551-76284C202B61}">
      <text>
        <r>
          <rPr>
            <b/>
            <sz val="9"/>
            <color indexed="81"/>
            <rFont val="Tahoma"/>
            <charset val="1"/>
          </rPr>
          <t>Urvish:</t>
        </r>
        <r>
          <rPr>
            <sz val="9"/>
            <color indexed="81"/>
            <rFont val="Tahoma"/>
            <charset val="1"/>
          </rPr>
          <t xml:space="preserve">
Adjust Current Prediction
that is add step 1 + step 4
Actual Predicion at Iteration 1</t>
        </r>
      </text>
    </comment>
    <comment ref="H1" authorId="0" shapeId="0" xr:uid="{24CD8855-E330-4EDE-9274-9945DA32AC30}">
      <text>
        <r>
          <rPr>
            <b/>
            <sz val="9"/>
            <color indexed="81"/>
            <rFont val="Tahoma"/>
            <charset val="1"/>
          </rPr>
          <t>Urvish:</t>
        </r>
        <r>
          <rPr>
            <sz val="9"/>
            <color indexed="81"/>
            <rFont val="Tahoma"/>
            <charset val="1"/>
          </rPr>
          <t xml:space="preserve">
Calculate the new error
that is Y - step 5</t>
        </r>
      </text>
    </comment>
    <comment ref="E30" authorId="0" shapeId="0" xr:uid="{E6E3D4FA-C01C-42D2-B0EF-14F2244CADC4}">
      <text>
        <r>
          <rPr>
            <b/>
            <sz val="9"/>
            <color indexed="81"/>
            <rFont val="Tahoma"/>
            <family val="2"/>
          </rPr>
          <t>Urvish:</t>
        </r>
        <r>
          <rPr>
            <sz val="9"/>
            <color indexed="81"/>
            <rFont val="Tahoma"/>
            <family val="2"/>
          </rPr>
          <t xml:space="preserve">
Split point. That is data points with X &lt; 3.14 and data points X &gt; 3.14</t>
        </r>
      </text>
    </comment>
    <comment ref="A67" authorId="0" shapeId="0" xr:uid="{1FD26F53-66D9-41BD-B650-195E77E7DDC8}">
      <text>
        <r>
          <rPr>
            <b/>
            <sz val="9"/>
            <color indexed="81"/>
            <rFont val="Tahoma"/>
            <charset val="1"/>
          </rPr>
          <t>Urvish:</t>
        </r>
        <r>
          <rPr>
            <sz val="9"/>
            <color indexed="81"/>
            <rFont val="Tahoma"/>
            <charset val="1"/>
          </rPr>
          <t xml:space="preserve">
Calculate the new error
that is Y - step 5</t>
        </r>
      </text>
    </comment>
    <comment ref="B67" authorId="0" shapeId="0" xr:uid="{47A60223-2918-4CD6-9250-7CCDBB731B3A}">
      <text>
        <r>
          <rPr>
            <b/>
            <sz val="9"/>
            <color indexed="81"/>
            <rFont val="Tahoma"/>
            <family val="2"/>
          </rPr>
          <t>Urvish:</t>
        </r>
        <r>
          <rPr>
            <sz val="9"/>
            <color indexed="81"/>
            <rFont val="Tahoma"/>
            <family val="2"/>
          </rPr>
          <t xml:space="preserve">
Split the data into groups by using Decision Tree</t>
        </r>
      </text>
    </comment>
    <comment ref="C67" authorId="0" shapeId="0" xr:uid="{4F14936B-DDAD-49E1-90C2-591FDD325BA3}">
      <text>
        <r>
          <rPr>
            <b/>
            <sz val="9"/>
            <color indexed="81"/>
            <rFont val="Tahoma"/>
            <charset val="1"/>
          </rPr>
          <t>Urvish:</t>
        </r>
        <r>
          <rPr>
            <sz val="9"/>
            <color indexed="81"/>
            <rFont val="Tahoma"/>
            <charset val="1"/>
          </rPr>
          <t xml:space="preserve">
For each group, find the average error</t>
        </r>
      </text>
    </comment>
    <comment ref="D67" authorId="0" shapeId="0" xr:uid="{9175BA14-86BB-4EC5-B71D-BC906B06D8AD}">
      <text>
        <r>
          <rPr>
            <b/>
            <sz val="9"/>
            <color indexed="81"/>
            <rFont val="Tahoma"/>
            <charset val="1"/>
          </rPr>
          <t>Urvish:</t>
        </r>
        <r>
          <rPr>
            <sz val="9"/>
            <color indexed="81"/>
            <rFont val="Tahoma"/>
            <charset val="1"/>
          </rPr>
          <t xml:space="preserve">
Adjust Current Prediction
that is add step 5 from iteration 1 + step 4
Actual Predicion at Iteration 2</t>
        </r>
      </text>
    </comment>
    <comment ref="E67" authorId="0" shapeId="0" xr:uid="{A353EB0A-6977-494C-82A2-346116615464}">
      <text>
        <r>
          <rPr>
            <b/>
            <sz val="9"/>
            <color indexed="81"/>
            <rFont val="Tahoma"/>
            <charset val="1"/>
          </rPr>
          <t>Urvish:</t>
        </r>
        <r>
          <rPr>
            <sz val="9"/>
            <color indexed="81"/>
            <rFont val="Tahoma"/>
            <charset val="1"/>
          </rPr>
          <t xml:space="preserve">
Calculate the new error
that is step 5 - Y</t>
        </r>
      </text>
    </comment>
  </commentList>
</comments>
</file>

<file path=xl/sharedStrings.xml><?xml version="1.0" encoding="utf-8"?>
<sst xmlns="http://schemas.openxmlformats.org/spreadsheetml/2006/main" count="30" uniqueCount="11">
  <si>
    <t>Y</t>
  </si>
  <si>
    <t>X</t>
  </si>
  <si>
    <t>Step 1</t>
  </si>
  <si>
    <t>Step 2</t>
  </si>
  <si>
    <t>Step 3</t>
  </si>
  <si>
    <t>Step 4</t>
  </si>
  <si>
    <t>Step 5</t>
  </si>
  <si>
    <t>Step 6</t>
  </si>
  <si>
    <t>Iteration 1</t>
  </si>
  <si>
    <t xml:space="preserve">We will take the error from Iteration 1 (that is Step 6 values) and 
build decision tree model on the top of that. </t>
  </si>
  <si>
    <t>Iteration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</si>
</sst>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b/>
      <sz val="72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5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0" borderId="1" xfId="0" applyFont="1" applyBorder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DF0C7-9118-4B9C-A8FB-510052A65DA7}">
  <dimension ref="A1:R46"/>
  <sheetViews>
    <sheetView tabSelected="1" topLeftCell="A13" workbookViewId="0">
      <selection activeCell="E26" sqref="E26"/>
    </sheetView>
  </sheetViews>
  <sheetFormatPr defaultRowHeight="14.4" x14ac:dyDescent="0.3"/>
  <cols>
    <col min="3" max="3" width="9.21875" bestFit="1" customWidth="1"/>
    <col min="5" max="5" width="11.6640625" bestFit="1" customWidth="1"/>
  </cols>
  <sheetData>
    <row r="1" spans="1:1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18" x14ac:dyDescent="0.3">
      <c r="A2" s="5">
        <v>4.9393413615516639</v>
      </c>
      <c r="B2" s="5">
        <v>8.4189684721367453E-2</v>
      </c>
      <c r="C2" s="5">
        <v>0</v>
      </c>
      <c r="D2" s="5">
        <f>A2-C2</f>
        <v>4.9393413615516639</v>
      </c>
      <c r="E2" s="5"/>
      <c r="F2" s="6">
        <f>SUM(D2:D9)/8</f>
        <v>3.4034188298104651</v>
      </c>
      <c r="G2" s="5">
        <f>C2+$F$2</f>
        <v>3.4034188298104651</v>
      </c>
      <c r="H2" s="5">
        <f>A2-G2</f>
        <v>1.5359225317411989</v>
      </c>
    </row>
    <row r="3" spans="1:18" x14ac:dyDescent="0.3">
      <c r="A3" s="5">
        <v>0.3275430998199752</v>
      </c>
      <c r="B3" s="5">
        <v>0.55032766490205831</v>
      </c>
      <c r="C3" s="5">
        <v>0</v>
      </c>
      <c r="D3" s="5">
        <f t="shared" ref="D3:D21" si="0">A3-C3</f>
        <v>0.3275430998199752</v>
      </c>
      <c r="E3" s="5"/>
      <c r="F3" s="6"/>
      <c r="G3" s="5">
        <f>C3+$F$2</f>
        <v>3.4034188298104651</v>
      </c>
      <c r="H3" s="5">
        <f t="shared" ref="H3:H21" si="1">A3-G3</f>
        <v>-3.0758757299904897</v>
      </c>
    </row>
    <row r="4" spans="1:18" x14ac:dyDescent="0.3">
      <c r="A4" s="5">
        <v>4.8761329041779264</v>
      </c>
      <c r="B4" s="5">
        <v>1.6573625628726658</v>
      </c>
      <c r="C4" s="5">
        <v>0</v>
      </c>
      <c r="D4" s="5">
        <f t="shared" si="0"/>
        <v>4.8761329041779264</v>
      </c>
      <c r="E4" s="5"/>
      <c r="F4" s="6"/>
      <c r="G4" s="5">
        <f t="shared" ref="G3:G9" si="2">C4+$F$2</f>
        <v>3.4034188298104651</v>
      </c>
      <c r="H4" s="5">
        <f t="shared" si="1"/>
        <v>1.4727140743674614</v>
      </c>
    </row>
    <row r="5" spans="1:18" x14ac:dyDescent="0.3">
      <c r="A5" s="5">
        <v>3.3645799784537314</v>
      </c>
      <c r="B5" s="5">
        <v>1.7628320362596179</v>
      </c>
      <c r="C5" s="5">
        <v>0</v>
      </c>
      <c r="D5" s="5">
        <f t="shared" si="0"/>
        <v>3.3645799784537314</v>
      </c>
      <c r="E5" s="5"/>
      <c r="F5" s="6"/>
      <c r="G5" s="5">
        <f t="shared" si="2"/>
        <v>3.4034188298104651</v>
      </c>
      <c r="H5" s="5">
        <f t="shared" si="1"/>
        <v>-3.8838851356733706E-2</v>
      </c>
    </row>
    <row r="6" spans="1:18" x14ac:dyDescent="0.3">
      <c r="A6" s="5">
        <v>2.7304149493870349</v>
      </c>
      <c r="B6" s="5">
        <v>1.9484882994518282</v>
      </c>
      <c r="C6" s="5">
        <v>0</v>
      </c>
      <c r="D6" s="5">
        <f t="shared" si="0"/>
        <v>2.7304149493870349</v>
      </c>
      <c r="E6" s="5"/>
      <c r="F6" s="6"/>
      <c r="G6" s="5">
        <f t="shared" si="2"/>
        <v>3.4034188298104651</v>
      </c>
      <c r="H6" s="5">
        <f t="shared" si="1"/>
        <v>-0.67300388042343018</v>
      </c>
      <c r="L6" s="1" t="s">
        <v>8</v>
      </c>
      <c r="M6" s="1"/>
      <c r="N6" s="1"/>
      <c r="O6" s="1"/>
      <c r="P6" s="1"/>
      <c r="Q6" s="1"/>
      <c r="R6" s="1"/>
    </row>
    <row r="7" spans="1:18" x14ac:dyDescent="0.3">
      <c r="A7" s="5">
        <v>3.7670314352079854</v>
      </c>
      <c r="B7" s="5">
        <v>2.0625451088987115</v>
      </c>
      <c r="C7" s="5">
        <v>0</v>
      </c>
      <c r="D7" s="5">
        <f t="shared" si="0"/>
        <v>3.7670314352079854</v>
      </c>
      <c r="E7" s="5"/>
      <c r="F7" s="6"/>
      <c r="G7" s="5">
        <f t="shared" si="2"/>
        <v>3.4034188298104651</v>
      </c>
      <c r="H7" s="5">
        <f t="shared" si="1"/>
        <v>0.36361260539752038</v>
      </c>
      <c r="L7" s="1"/>
      <c r="M7" s="1"/>
      <c r="N7" s="1"/>
      <c r="O7" s="1"/>
      <c r="P7" s="1"/>
      <c r="Q7" s="1"/>
      <c r="R7" s="1"/>
    </row>
    <row r="8" spans="1:18" x14ac:dyDescent="0.3">
      <c r="A8" s="5">
        <v>3.4251456076008329</v>
      </c>
      <c r="B8" s="5">
        <v>2.0950564031348979</v>
      </c>
      <c r="C8" s="5">
        <v>0</v>
      </c>
      <c r="D8" s="5">
        <f t="shared" si="0"/>
        <v>3.4251456076008329</v>
      </c>
      <c r="E8" s="5"/>
      <c r="F8" s="6"/>
      <c r="G8" s="5">
        <f t="shared" si="2"/>
        <v>3.4034188298104651</v>
      </c>
      <c r="H8" s="5">
        <f t="shared" si="1"/>
        <v>2.1726777790367802E-2</v>
      </c>
      <c r="L8" s="1"/>
      <c r="M8" s="1"/>
      <c r="N8" s="1"/>
      <c r="O8" s="1"/>
      <c r="P8" s="1"/>
      <c r="Q8" s="1"/>
      <c r="R8" s="1"/>
    </row>
    <row r="9" spans="1:18" x14ac:dyDescent="0.3">
      <c r="A9" s="5">
        <v>3.7971613022845698</v>
      </c>
      <c r="B9" s="5">
        <v>2.2020705164615024</v>
      </c>
      <c r="C9" s="5">
        <v>0</v>
      </c>
      <c r="D9" s="5">
        <f t="shared" si="0"/>
        <v>3.7971613022845698</v>
      </c>
      <c r="E9" s="5"/>
      <c r="F9" s="6"/>
      <c r="G9" s="5">
        <f t="shared" si="2"/>
        <v>3.4034188298104651</v>
      </c>
      <c r="H9" s="5">
        <f t="shared" si="1"/>
        <v>0.39374247247410477</v>
      </c>
      <c r="L9" s="1"/>
      <c r="M9" s="1"/>
      <c r="N9" s="1"/>
      <c r="O9" s="1"/>
      <c r="P9" s="1"/>
      <c r="Q9" s="1"/>
      <c r="R9" s="1"/>
    </row>
    <row r="10" spans="1:18" x14ac:dyDescent="0.3">
      <c r="A10" s="5">
        <v>4.3783541336384655</v>
      </c>
      <c r="B10" s="5">
        <v>2.4700535970320785</v>
      </c>
      <c r="C10" s="5">
        <v>0</v>
      </c>
      <c r="D10" s="5">
        <f t="shared" si="0"/>
        <v>4.3783541336384655</v>
      </c>
      <c r="E10" s="5">
        <f>B10</f>
        <v>2.4700535970320785</v>
      </c>
      <c r="F10" s="5">
        <f>A10-E10</f>
        <v>1.908300536606387</v>
      </c>
      <c r="G10" s="5">
        <f>C10+F10</f>
        <v>1.908300536606387</v>
      </c>
      <c r="H10" s="5">
        <f t="shared" si="1"/>
        <v>2.4700535970320785</v>
      </c>
      <c r="L10" s="1"/>
      <c r="M10" s="1"/>
      <c r="N10" s="1"/>
      <c r="O10" s="1"/>
      <c r="P10" s="1"/>
      <c r="Q10" s="1"/>
      <c r="R10" s="1"/>
    </row>
    <row r="11" spans="1:18" x14ac:dyDescent="0.3">
      <c r="A11" s="5">
        <v>2.2751331280402232</v>
      </c>
      <c r="B11" s="5">
        <v>2.7573416910046959</v>
      </c>
      <c r="C11" s="5">
        <v>0</v>
      </c>
      <c r="D11" s="5">
        <f t="shared" si="0"/>
        <v>2.2751331280402232</v>
      </c>
      <c r="E11" s="5"/>
      <c r="F11" s="6">
        <f>SUM(D11:D21)/11</f>
        <v>2.5734477950477075</v>
      </c>
      <c r="G11" s="5">
        <f>C11+$F$11</f>
        <v>2.5734477950477075</v>
      </c>
      <c r="H11" s="5">
        <f t="shared" si="1"/>
        <v>-0.29831466700748432</v>
      </c>
      <c r="L11" s="1"/>
      <c r="M11" s="1"/>
      <c r="N11" s="1"/>
      <c r="O11" s="1"/>
      <c r="P11" s="1"/>
      <c r="Q11" s="1"/>
      <c r="R11" s="1"/>
    </row>
    <row r="12" spans="1:18" x14ac:dyDescent="0.3">
      <c r="A12" s="5">
        <v>2.3500399295069112</v>
      </c>
      <c r="B12" s="5">
        <v>2.8336706116929973</v>
      </c>
      <c r="C12" s="5">
        <v>0</v>
      </c>
      <c r="D12" s="5">
        <f t="shared" si="0"/>
        <v>2.3500399295069112</v>
      </c>
      <c r="E12" s="5"/>
      <c r="F12" s="6"/>
      <c r="G12" s="5">
        <f t="shared" ref="G12:G21" si="3">C12+$F$11</f>
        <v>2.5734477950477075</v>
      </c>
      <c r="H12" s="5">
        <f t="shared" si="1"/>
        <v>-0.22340786554079628</v>
      </c>
      <c r="L12" s="1"/>
      <c r="M12" s="1"/>
      <c r="N12" s="1"/>
      <c r="O12" s="1"/>
      <c r="P12" s="1"/>
      <c r="Q12" s="1"/>
      <c r="R12" s="1"/>
    </row>
    <row r="13" spans="1:18" x14ac:dyDescent="0.3">
      <c r="A13" s="5">
        <v>4.8877303907504599</v>
      </c>
      <c r="B13" s="5">
        <v>3.1028799011582642</v>
      </c>
      <c r="C13" s="5">
        <v>0</v>
      </c>
      <c r="D13" s="5">
        <f t="shared" si="0"/>
        <v>4.8877303907504599</v>
      </c>
      <c r="E13" s="5"/>
      <c r="F13" s="6"/>
      <c r="G13" s="5">
        <f t="shared" si="3"/>
        <v>2.5734477950477075</v>
      </c>
      <c r="H13" s="5">
        <f t="shared" si="1"/>
        <v>2.3142825957027524</v>
      </c>
      <c r="L13" s="1"/>
      <c r="M13" s="1"/>
      <c r="N13" s="1"/>
      <c r="O13" s="1"/>
      <c r="P13" s="1"/>
      <c r="Q13" s="1"/>
      <c r="R13" s="1"/>
    </row>
    <row r="14" spans="1:18" x14ac:dyDescent="0.3">
      <c r="A14" s="5">
        <v>4.2747911752006926</v>
      </c>
      <c r="B14" s="5">
        <v>3.2692634694065417</v>
      </c>
      <c r="C14" s="5">
        <v>0</v>
      </c>
      <c r="D14" s="5">
        <f t="shared" si="0"/>
        <v>4.2747911752006926</v>
      </c>
      <c r="E14" s="5"/>
      <c r="F14" s="6"/>
      <c r="G14" s="5">
        <f t="shared" si="3"/>
        <v>2.5734477950477075</v>
      </c>
      <c r="H14" s="5">
        <f t="shared" si="1"/>
        <v>1.7013433801529851</v>
      </c>
    </row>
    <row r="15" spans="1:18" x14ac:dyDescent="0.3">
      <c r="A15" s="5">
        <v>1.0375098390220923</v>
      </c>
      <c r="B15" s="5">
        <v>3.4309843588603508</v>
      </c>
      <c r="C15" s="5">
        <v>0</v>
      </c>
      <c r="D15" s="5">
        <f t="shared" si="0"/>
        <v>1.0375098390220923</v>
      </c>
      <c r="E15" s="5"/>
      <c r="F15" s="6"/>
      <c r="G15" s="5">
        <f t="shared" si="3"/>
        <v>2.5734477950477075</v>
      </c>
      <c r="H15" s="5">
        <f t="shared" si="1"/>
        <v>-1.5359379560256152</v>
      </c>
    </row>
    <row r="16" spans="1:18" x14ac:dyDescent="0.3">
      <c r="A16" s="5">
        <v>0.80325571878472002</v>
      </c>
      <c r="B16" s="5">
        <v>3.7796428965585727</v>
      </c>
      <c r="C16" s="5">
        <v>0</v>
      </c>
      <c r="D16" s="5">
        <f t="shared" si="0"/>
        <v>0.80325571878472002</v>
      </c>
      <c r="E16" s="5"/>
      <c r="F16" s="6"/>
      <c r="G16" s="5">
        <f t="shared" si="3"/>
        <v>2.5734477950477075</v>
      </c>
      <c r="H16" s="5">
        <f t="shared" si="1"/>
        <v>-1.7701920762629875</v>
      </c>
    </row>
    <row r="17" spans="1:18" x14ac:dyDescent="0.3">
      <c r="A17" s="5">
        <v>1.4579615163443833</v>
      </c>
      <c r="B17" s="5">
        <v>4.0703038563182785</v>
      </c>
      <c r="C17" s="5">
        <v>0</v>
      </c>
      <c r="D17" s="5">
        <f t="shared" si="0"/>
        <v>1.4579615163443833</v>
      </c>
      <c r="E17" s="5"/>
      <c r="F17" s="6"/>
      <c r="G17" s="5">
        <f t="shared" si="3"/>
        <v>2.5734477950477075</v>
      </c>
      <c r="H17" s="5">
        <f t="shared" si="1"/>
        <v>-1.1154862787033242</v>
      </c>
    </row>
    <row r="18" spans="1:18" x14ac:dyDescent="0.3">
      <c r="A18" s="5">
        <v>3.831291591851163</v>
      </c>
      <c r="B18" s="5">
        <v>4.3717061290827095</v>
      </c>
      <c r="C18" s="5">
        <v>0</v>
      </c>
      <c r="D18" s="5">
        <f t="shared" si="0"/>
        <v>3.831291591851163</v>
      </c>
      <c r="E18" s="5"/>
      <c r="F18" s="6"/>
      <c r="G18" s="5">
        <f t="shared" si="3"/>
        <v>2.5734477950477075</v>
      </c>
      <c r="H18" s="5">
        <f t="shared" si="1"/>
        <v>1.2578437968034555</v>
      </c>
    </row>
    <row r="19" spans="1:18" x14ac:dyDescent="0.3">
      <c r="A19" s="5">
        <v>3.0644359516402808</v>
      </c>
      <c r="B19" s="5">
        <v>4.4875637255068055</v>
      </c>
      <c r="C19" s="5">
        <v>0</v>
      </c>
      <c r="D19" s="5">
        <f t="shared" si="0"/>
        <v>3.0644359516402808</v>
      </c>
      <c r="E19" s="5"/>
      <c r="F19" s="6"/>
      <c r="G19" s="5">
        <f t="shared" si="3"/>
        <v>2.5734477950477075</v>
      </c>
      <c r="H19" s="5">
        <f t="shared" si="1"/>
        <v>0.49098815659257333</v>
      </c>
    </row>
    <row r="20" spans="1:18" x14ac:dyDescent="0.3">
      <c r="A20" s="5">
        <v>0.91213776729391849</v>
      </c>
      <c r="B20" s="5">
        <v>4.8028764106533437</v>
      </c>
      <c r="C20" s="5">
        <v>0</v>
      </c>
      <c r="D20" s="5">
        <f t="shared" si="0"/>
        <v>0.91213776729391849</v>
      </c>
      <c r="E20" s="5"/>
      <c r="F20" s="6"/>
      <c r="G20" s="5">
        <f t="shared" si="3"/>
        <v>2.5734477950477075</v>
      </c>
      <c r="H20" s="5">
        <f t="shared" si="1"/>
        <v>-1.6613100277537889</v>
      </c>
    </row>
    <row r="21" spans="1:18" x14ac:dyDescent="0.3">
      <c r="A21" s="5">
        <v>3.4136387370899413</v>
      </c>
      <c r="B21" s="5">
        <v>4.8239726361530213</v>
      </c>
      <c r="C21" s="5">
        <v>0</v>
      </c>
      <c r="D21" s="5">
        <f t="shared" si="0"/>
        <v>3.4136387370899413</v>
      </c>
      <c r="E21" s="5"/>
      <c r="F21" s="6"/>
      <c r="G21" s="5">
        <f t="shared" si="3"/>
        <v>2.5734477950477075</v>
      </c>
      <c r="H21" s="5">
        <f t="shared" si="1"/>
        <v>0.84019094204223377</v>
      </c>
    </row>
    <row r="22" spans="1:18" x14ac:dyDescent="0.3">
      <c r="A22" s="2" t="s">
        <v>9</v>
      </c>
      <c r="B22" s="3"/>
      <c r="C22" s="3"/>
      <c r="D22" s="3"/>
      <c r="E22" s="3"/>
      <c r="F22" s="3"/>
      <c r="G22" s="3"/>
      <c r="H22" s="3"/>
    </row>
    <row r="23" spans="1:18" x14ac:dyDescent="0.3">
      <c r="A23" s="3"/>
      <c r="B23" s="3"/>
      <c r="C23" s="3"/>
      <c r="D23" s="3"/>
      <c r="E23" s="3"/>
      <c r="F23" s="3"/>
      <c r="G23" s="3"/>
      <c r="H23" s="3"/>
    </row>
    <row r="24" spans="1:18" x14ac:dyDescent="0.3">
      <c r="A24" s="3"/>
      <c r="B24" s="3"/>
      <c r="C24" s="3"/>
      <c r="D24" s="3"/>
      <c r="E24" s="3"/>
      <c r="F24" s="3"/>
      <c r="G24" s="3"/>
      <c r="H24" s="3"/>
    </row>
    <row r="25" spans="1:18" x14ac:dyDescent="0.3">
      <c r="A25" s="7" t="s">
        <v>7</v>
      </c>
      <c r="B25" s="7" t="s">
        <v>4</v>
      </c>
      <c r="C25" s="7" t="s">
        <v>5</v>
      </c>
      <c r="D25" s="7" t="s">
        <v>6</v>
      </c>
      <c r="E25" s="7" t="s">
        <v>7</v>
      </c>
    </row>
    <row r="26" spans="1:18" x14ac:dyDescent="0.3">
      <c r="A26" s="5">
        <v>1.5359225317411989</v>
      </c>
      <c r="B26" s="5"/>
      <c r="C26" s="6">
        <f>SUM(A26:A29)/4</f>
        <v>-2.6519493809640804E-2</v>
      </c>
      <c r="D26" s="5">
        <f>G2+$C$26</f>
        <v>3.3768993360008244</v>
      </c>
      <c r="E26" s="5">
        <f>A2-D26</f>
        <v>1.5624420255508396</v>
      </c>
    </row>
    <row r="27" spans="1:18" x14ac:dyDescent="0.3">
      <c r="A27" s="5">
        <v>-3.0758757299904897</v>
      </c>
      <c r="B27" s="5"/>
      <c r="C27" s="6"/>
      <c r="D27" s="5">
        <f t="shared" ref="D27:D30" si="4">G3+$C$26</f>
        <v>3.3768993360008244</v>
      </c>
      <c r="E27" s="5">
        <f t="shared" ref="E27:E45" si="5">A3-D27</f>
        <v>-3.0493562361808491</v>
      </c>
    </row>
    <row r="28" spans="1:18" x14ac:dyDescent="0.3">
      <c r="A28" s="5">
        <v>1.4727140743674614</v>
      </c>
      <c r="B28" s="5"/>
      <c r="C28" s="6"/>
      <c r="D28" s="5">
        <f t="shared" si="4"/>
        <v>3.3768993360008244</v>
      </c>
      <c r="E28" s="5">
        <f t="shared" si="5"/>
        <v>1.4992335681771021</v>
      </c>
    </row>
    <row r="29" spans="1:18" x14ac:dyDescent="0.3">
      <c r="A29" s="5">
        <v>-3.8838851356733706E-2</v>
      </c>
      <c r="B29" s="5"/>
      <c r="C29" s="6"/>
      <c r="D29" s="5">
        <f t="shared" si="4"/>
        <v>3.3768993360008244</v>
      </c>
      <c r="E29" s="5">
        <f t="shared" si="5"/>
        <v>-1.2319357547093013E-2</v>
      </c>
    </row>
    <row r="30" spans="1:18" x14ac:dyDescent="0.3">
      <c r="A30" s="5">
        <v>-0.67300388042343018</v>
      </c>
      <c r="B30" s="5">
        <f>A30</f>
        <v>-0.67300388042343018</v>
      </c>
      <c r="C30" s="5">
        <f>B30</f>
        <v>-0.67300388042343018</v>
      </c>
      <c r="D30" s="5">
        <f>G6+C30</f>
        <v>2.7304149493870349</v>
      </c>
      <c r="E30" s="5">
        <f t="shared" si="5"/>
        <v>0</v>
      </c>
      <c r="L30" s="1" t="s">
        <v>10</v>
      </c>
      <c r="M30" s="1"/>
      <c r="N30" s="1"/>
      <c r="O30" s="1"/>
      <c r="P30" s="1"/>
      <c r="Q30" s="1"/>
      <c r="R30" s="1"/>
    </row>
    <row r="31" spans="1:18" x14ac:dyDescent="0.3">
      <c r="A31" s="5">
        <v>0.36361260539752038</v>
      </c>
      <c r="B31" s="5"/>
      <c r="C31" s="6">
        <f>SUM(A31:A45)/15</f>
        <v>0.21660903017960498</v>
      </c>
      <c r="D31" s="5">
        <f>G7+$C$31</f>
        <v>3.6200278599900702</v>
      </c>
      <c r="E31" s="5">
        <f t="shared" si="5"/>
        <v>0.14700357521791529</v>
      </c>
      <c r="L31" s="1"/>
      <c r="M31" s="1"/>
      <c r="N31" s="1"/>
      <c r="O31" s="1"/>
      <c r="P31" s="1"/>
      <c r="Q31" s="1"/>
      <c r="R31" s="1"/>
    </row>
    <row r="32" spans="1:18" x14ac:dyDescent="0.3">
      <c r="A32" s="5">
        <v>2.1726777790367802E-2</v>
      </c>
      <c r="B32" s="5"/>
      <c r="C32" s="6"/>
      <c r="D32" s="5">
        <f t="shared" ref="D32:D45" si="6">G8+$C$31</f>
        <v>3.6200278599900702</v>
      </c>
      <c r="E32" s="5">
        <f t="shared" si="5"/>
        <v>-0.19488225238923729</v>
      </c>
      <c r="L32" s="1"/>
      <c r="M32" s="1"/>
      <c r="N32" s="1"/>
      <c r="O32" s="1"/>
      <c r="P32" s="1"/>
      <c r="Q32" s="1"/>
      <c r="R32" s="1"/>
    </row>
    <row r="33" spans="1:18" x14ac:dyDescent="0.3">
      <c r="A33" s="5">
        <v>0.39374247247410477</v>
      </c>
      <c r="B33" s="5"/>
      <c r="C33" s="6"/>
      <c r="D33" s="5">
        <f t="shared" si="6"/>
        <v>3.6200278599900702</v>
      </c>
      <c r="E33" s="5">
        <f t="shared" si="5"/>
        <v>0.17713344229449968</v>
      </c>
      <c r="L33" s="1"/>
      <c r="M33" s="1"/>
      <c r="N33" s="1"/>
      <c r="O33" s="1"/>
      <c r="P33" s="1"/>
      <c r="Q33" s="1"/>
      <c r="R33" s="1"/>
    </row>
    <row r="34" spans="1:18" x14ac:dyDescent="0.3">
      <c r="A34" s="5">
        <v>2.4700535970320785</v>
      </c>
      <c r="B34" s="5"/>
      <c r="C34" s="6"/>
      <c r="D34" s="5">
        <f>G10+$C$31</f>
        <v>2.1249095667859921</v>
      </c>
      <c r="E34" s="5">
        <f t="shared" si="5"/>
        <v>2.2534445668524734</v>
      </c>
      <c r="L34" s="1"/>
      <c r="M34" s="1"/>
      <c r="N34" s="1"/>
      <c r="O34" s="1"/>
      <c r="P34" s="1"/>
      <c r="Q34" s="1"/>
      <c r="R34" s="1"/>
    </row>
    <row r="35" spans="1:18" x14ac:dyDescent="0.3">
      <c r="A35" s="5">
        <v>-0.29831466700748432</v>
      </c>
      <c r="B35" s="5"/>
      <c r="C35" s="6"/>
      <c r="D35" s="5">
        <f>G11+$C$31</f>
        <v>2.7900568252273126</v>
      </c>
      <c r="E35" s="5">
        <f t="shared" si="5"/>
        <v>-0.51492369718708941</v>
      </c>
      <c r="L35" s="1"/>
      <c r="M35" s="1"/>
      <c r="N35" s="1"/>
      <c r="O35" s="1"/>
      <c r="P35" s="1"/>
      <c r="Q35" s="1"/>
      <c r="R35" s="1"/>
    </row>
    <row r="36" spans="1:18" x14ac:dyDescent="0.3">
      <c r="A36" s="5">
        <v>-0.22340786554079628</v>
      </c>
      <c r="B36" s="5"/>
      <c r="C36" s="6"/>
      <c r="D36" s="5">
        <f t="shared" si="6"/>
        <v>2.7900568252273126</v>
      </c>
      <c r="E36" s="5">
        <f t="shared" si="5"/>
        <v>-0.44001689572040137</v>
      </c>
      <c r="L36" s="1"/>
      <c r="M36" s="1"/>
      <c r="N36" s="1"/>
      <c r="O36" s="1"/>
      <c r="P36" s="1"/>
      <c r="Q36" s="1"/>
      <c r="R36" s="1"/>
    </row>
    <row r="37" spans="1:18" x14ac:dyDescent="0.3">
      <c r="A37" s="5">
        <v>2.3142825957027524</v>
      </c>
      <c r="B37" s="5"/>
      <c r="C37" s="6"/>
      <c r="D37" s="5">
        <f t="shared" si="6"/>
        <v>2.7900568252273126</v>
      </c>
      <c r="E37" s="5">
        <f t="shared" si="5"/>
        <v>2.0976735655231473</v>
      </c>
      <c r="L37" s="1"/>
      <c r="M37" s="1"/>
      <c r="N37" s="1"/>
      <c r="O37" s="1"/>
      <c r="P37" s="1"/>
      <c r="Q37" s="1"/>
      <c r="R37" s="1"/>
    </row>
    <row r="38" spans="1:18" x14ac:dyDescent="0.3">
      <c r="A38" s="5">
        <v>1.7013433801529851</v>
      </c>
      <c r="B38" s="5"/>
      <c r="C38" s="6"/>
      <c r="D38" s="5">
        <f t="shared" si="6"/>
        <v>2.7900568252273126</v>
      </c>
      <c r="E38" s="5">
        <f t="shared" si="5"/>
        <v>1.4847343499733801</v>
      </c>
    </row>
    <row r="39" spans="1:18" x14ac:dyDescent="0.3">
      <c r="A39" s="5">
        <v>-1.5359379560256152</v>
      </c>
      <c r="B39" s="5"/>
      <c r="C39" s="6"/>
      <c r="D39" s="5">
        <f t="shared" si="6"/>
        <v>2.7900568252273126</v>
      </c>
      <c r="E39" s="5">
        <f t="shared" si="5"/>
        <v>-1.7525469862052203</v>
      </c>
    </row>
    <row r="40" spans="1:18" x14ac:dyDescent="0.3">
      <c r="A40" s="5">
        <v>-1.7701920762629875</v>
      </c>
      <c r="B40" s="5"/>
      <c r="C40" s="6"/>
      <c r="D40" s="5">
        <f t="shared" si="6"/>
        <v>2.7900568252273126</v>
      </c>
      <c r="E40" s="5">
        <f t="shared" si="5"/>
        <v>-1.9868011064425926</v>
      </c>
    </row>
    <row r="41" spans="1:18" x14ac:dyDescent="0.3">
      <c r="A41" s="5">
        <v>-1.1154862787033242</v>
      </c>
      <c r="B41" s="5"/>
      <c r="C41" s="6"/>
      <c r="D41" s="5">
        <f t="shared" si="6"/>
        <v>2.7900568252273126</v>
      </c>
      <c r="E41" s="5">
        <f t="shared" si="5"/>
        <v>-1.3320953088829293</v>
      </c>
    </row>
    <row r="42" spans="1:18" x14ac:dyDescent="0.3">
      <c r="A42" s="5">
        <v>1.2578437968034555</v>
      </c>
      <c r="B42" s="5"/>
      <c r="C42" s="6"/>
      <c r="D42" s="5">
        <f t="shared" si="6"/>
        <v>2.7900568252273126</v>
      </c>
      <c r="E42" s="5">
        <f t="shared" si="5"/>
        <v>1.0412347666238504</v>
      </c>
    </row>
    <row r="43" spans="1:18" x14ac:dyDescent="0.3">
      <c r="A43" s="5">
        <v>0.49098815659257333</v>
      </c>
      <c r="B43" s="5"/>
      <c r="C43" s="6"/>
      <c r="D43" s="5">
        <f t="shared" si="6"/>
        <v>2.7900568252273126</v>
      </c>
      <c r="E43" s="5">
        <f t="shared" si="5"/>
        <v>0.27437912641296824</v>
      </c>
    </row>
    <row r="44" spans="1:18" x14ac:dyDescent="0.3">
      <c r="A44" s="5">
        <v>-1.6613100277537889</v>
      </c>
      <c r="B44" s="5"/>
      <c r="C44" s="6"/>
      <c r="D44" s="5">
        <f t="shared" si="6"/>
        <v>2.7900568252273126</v>
      </c>
      <c r="E44" s="5">
        <f t="shared" si="5"/>
        <v>-1.877919057933394</v>
      </c>
    </row>
    <row r="45" spans="1:18" x14ac:dyDescent="0.3">
      <c r="A45" s="5">
        <v>0.84019094204223377</v>
      </c>
      <c r="B45" s="5"/>
      <c r="C45" s="6"/>
      <c r="D45" s="5">
        <f t="shared" si="6"/>
        <v>2.7900568252273126</v>
      </c>
      <c r="E45" s="5">
        <f t="shared" si="5"/>
        <v>0.62358191186262868</v>
      </c>
    </row>
    <row r="46" spans="1:18" x14ac:dyDescent="0.3">
      <c r="E46" s="8"/>
    </row>
  </sheetData>
  <mergeCells count="7">
    <mergeCell ref="F2:F9"/>
    <mergeCell ref="F11:F21"/>
    <mergeCell ref="L6:R13"/>
    <mergeCell ref="A22:H24"/>
    <mergeCell ref="C26:C29"/>
    <mergeCell ref="C31:C45"/>
    <mergeCell ref="L30:R37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9E7FD-48F8-4FCF-932C-FF576A4C80EC}">
  <dimension ref="A1:H128"/>
  <sheetViews>
    <sheetView workbookViewId="0">
      <selection activeCell="A77" sqref="A77"/>
    </sheetView>
  </sheetViews>
  <sheetFormatPr defaultRowHeight="14.4" x14ac:dyDescent="0.3"/>
  <sheetData>
    <row r="1" spans="1:8" x14ac:dyDescent="0.3">
      <c r="A1" s="5" t="s">
        <v>0</v>
      </c>
      <c r="B1" s="5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spans="1:8" x14ac:dyDescent="0.3">
      <c r="A2" s="5">
        <v>0</v>
      </c>
      <c r="B2" s="5">
        <v>0</v>
      </c>
      <c r="C2" s="5">
        <v>0</v>
      </c>
      <c r="D2" s="5">
        <f>A2-C2</f>
        <v>0</v>
      </c>
      <c r="E2" s="5"/>
      <c r="F2" s="5">
        <f>SUM(D2:D29)/28</f>
        <v>0.69774813968429983</v>
      </c>
      <c r="G2" s="5">
        <f>C2+F2</f>
        <v>0.69774813968429983</v>
      </c>
      <c r="H2" s="5">
        <f>A2-G2</f>
        <v>-0.69774813968429983</v>
      </c>
    </row>
    <row r="3" spans="1:8" x14ac:dyDescent="0.3">
      <c r="A3" s="5">
        <v>0</v>
      </c>
      <c r="B3" s="5">
        <v>0.15707963267948966</v>
      </c>
      <c r="C3" s="5">
        <v>0</v>
      </c>
      <c r="D3" s="5">
        <f t="shared" ref="D3:D62" si="0">A3-C3</f>
        <v>0</v>
      </c>
      <c r="E3" s="5"/>
      <c r="F3" s="5">
        <f t="shared" ref="F3:F31" si="1">SUM(D3:D30)/28</f>
        <v>0.70878446091197655</v>
      </c>
      <c r="G3" s="5">
        <f t="shared" ref="G3:G62" si="2">C3+F3</f>
        <v>0.70878446091197655</v>
      </c>
      <c r="H3" s="5">
        <f t="shared" ref="H3:H62" si="3">A3-G3</f>
        <v>-0.70878446091197655</v>
      </c>
    </row>
    <row r="4" spans="1:8" x14ac:dyDescent="0.3">
      <c r="A4" s="5">
        <v>0.3090169943749474</v>
      </c>
      <c r="B4" s="5">
        <v>0.15707963267948966</v>
      </c>
      <c r="C4" s="5">
        <v>0</v>
      </c>
      <c r="D4" s="5">
        <f t="shared" si="0"/>
        <v>0.3090169943749474</v>
      </c>
      <c r="E4" s="5"/>
      <c r="F4" s="5">
        <f t="shared" si="1"/>
        <v>0.69774813968429983</v>
      </c>
      <c r="G4" s="5">
        <f t="shared" si="2"/>
        <v>0.69774813968429983</v>
      </c>
      <c r="H4" s="5">
        <f t="shared" si="3"/>
        <v>-0.38873114530935243</v>
      </c>
    </row>
    <row r="5" spans="1:8" x14ac:dyDescent="0.3">
      <c r="A5" s="5">
        <v>0.3090169943749474</v>
      </c>
      <c r="B5" s="5">
        <v>0.31415926535897931</v>
      </c>
      <c r="C5" s="5">
        <v>0</v>
      </c>
      <c r="D5" s="5">
        <f t="shared" si="0"/>
        <v>0.3090169943749474</v>
      </c>
      <c r="E5" s="5"/>
      <c r="F5" s="5">
        <f t="shared" si="1"/>
        <v>0.67567549722894638</v>
      </c>
      <c r="G5" s="5">
        <f t="shared" si="2"/>
        <v>0.67567549722894638</v>
      </c>
      <c r="H5" s="5">
        <f t="shared" si="3"/>
        <v>-0.36665850285399898</v>
      </c>
    </row>
    <row r="6" spans="1:8" x14ac:dyDescent="0.3">
      <c r="A6" s="5">
        <v>0.3090169943749474</v>
      </c>
      <c r="B6" s="5">
        <v>0.62831853071795862</v>
      </c>
      <c r="C6" s="5">
        <v>0</v>
      </c>
      <c r="D6" s="5">
        <f t="shared" si="0"/>
        <v>0.3090169943749474</v>
      </c>
      <c r="E6" s="5"/>
      <c r="F6" s="5">
        <f t="shared" si="1"/>
        <v>0.65360285477359292</v>
      </c>
      <c r="G6" s="5">
        <f t="shared" si="2"/>
        <v>0.65360285477359292</v>
      </c>
      <c r="H6" s="5">
        <f t="shared" si="3"/>
        <v>-0.34458586039864553</v>
      </c>
    </row>
    <row r="7" spans="1:8" x14ac:dyDescent="0.3">
      <c r="A7" s="5">
        <v>0.80901699437494745</v>
      </c>
      <c r="B7" s="5">
        <v>0.62831853071795862</v>
      </c>
      <c r="C7" s="5">
        <v>0</v>
      </c>
      <c r="D7" s="5">
        <f t="shared" si="0"/>
        <v>0.80901699437494745</v>
      </c>
      <c r="E7" s="5"/>
      <c r="F7" s="5">
        <f t="shared" si="1"/>
        <v>0.62635258712664676</v>
      </c>
      <c r="G7" s="5">
        <f t="shared" si="2"/>
        <v>0.62635258712664676</v>
      </c>
      <c r="H7" s="5">
        <f t="shared" si="3"/>
        <v>0.18266440724830069</v>
      </c>
    </row>
    <row r="8" spans="1:8" x14ac:dyDescent="0.3">
      <c r="A8" s="5">
        <v>0.80901699437494745</v>
      </c>
      <c r="B8" s="5">
        <v>0.94247779607693793</v>
      </c>
      <c r="C8" s="5">
        <v>0</v>
      </c>
      <c r="D8" s="5">
        <f t="shared" si="0"/>
        <v>0.80901699437494745</v>
      </c>
      <c r="E8" s="5"/>
      <c r="F8" s="5">
        <f t="shared" si="1"/>
        <v>0.5812451766225577</v>
      </c>
      <c r="G8" s="5">
        <f t="shared" si="2"/>
        <v>0.5812451766225577</v>
      </c>
      <c r="H8" s="5">
        <f t="shared" si="3"/>
        <v>0.22777181775238975</v>
      </c>
    </row>
    <row r="9" spans="1:8" x14ac:dyDescent="0.3">
      <c r="A9" s="5">
        <v>0.80901699437494745</v>
      </c>
      <c r="B9" s="5">
        <v>1.0210176124166828</v>
      </c>
      <c r="C9" s="5">
        <v>0</v>
      </c>
      <c r="D9" s="5">
        <f t="shared" si="0"/>
        <v>0.80901699437494745</v>
      </c>
      <c r="E9" s="5"/>
      <c r="F9" s="5">
        <f t="shared" si="1"/>
        <v>0.53613776611846864</v>
      </c>
      <c r="G9" s="5">
        <f t="shared" si="2"/>
        <v>0.53613776611846864</v>
      </c>
      <c r="H9" s="5">
        <f t="shared" si="3"/>
        <v>0.27287922825647881</v>
      </c>
    </row>
    <row r="10" spans="1:8" x14ac:dyDescent="0.3">
      <c r="A10" s="5">
        <v>0.89100652418836779</v>
      </c>
      <c r="B10" s="5">
        <v>1.0210176124166828</v>
      </c>
      <c r="C10" s="5">
        <v>0</v>
      </c>
      <c r="D10" s="5">
        <f t="shared" si="0"/>
        <v>0.89100652418836779</v>
      </c>
      <c r="E10" s="5"/>
      <c r="F10" s="5">
        <f t="shared" si="1"/>
        <v>0.4862519715946324</v>
      </c>
      <c r="G10" s="5">
        <f t="shared" si="2"/>
        <v>0.4862519715946324</v>
      </c>
      <c r="H10" s="5">
        <f t="shared" si="3"/>
        <v>0.40475455259373538</v>
      </c>
    </row>
    <row r="11" spans="1:8" x14ac:dyDescent="0.3">
      <c r="A11" s="5">
        <v>0.89100652418836779</v>
      </c>
      <c r="B11" s="5">
        <v>1.0995574287564276</v>
      </c>
      <c r="C11" s="5">
        <v>0</v>
      </c>
      <c r="D11" s="5">
        <f t="shared" si="0"/>
        <v>0.89100652418836779</v>
      </c>
      <c r="E11" s="5"/>
      <c r="F11" s="5">
        <f t="shared" si="1"/>
        <v>0.43343797957745961</v>
      </c>
      <c r="G11" s="5">
        <f t="shared" si="2"/>
        <v>0.43343797957745961</v>
      </c>
      <c r="H11" s="5">
        <f t="shared" si="3"/>
        <v>0.45756854461090818</v>
      </c>
    </row>
    <row r="12" spans="1:8" x14ac:dyDescent="0.3">
      <c r="A12" s="5">
        <v>0.89100652418836779</v>
      </c>
      <c r="B12" s="5">
        <v>1.1780972450961724</v>
      </c>
      <c r="C12" s="5">
        <v>0</v>
      </c>
      <c r="D12" s="5">
        <f t="shared" si="0"/>
        <v>0.89100652418836779</v>
      </c>
      <c r="E12" s="5"/>
      <c r="F12" s="5">
        <f t="shared" si="1"/>
        <v>0.3806239875602867</v>
      </c>
      <c r="G12" s="5">
        <f t="shared" si="2"/>
        <v>0.3806239875602867</v>
      </c>
      <c r="H12" s="5">
        <f t="shared" si="3"/>
        <v>0.51038253662808108</v>
      </c>
    </row>
    <row r="13" spans="1:8" x14ac:dyDescent="0.3">
      <c r="A13" s="5">
        <v>0.95105651629515353</v>
      </c>
      <c r="B13" s="5">
        <v>1.1780972450961724</v>
      </c>
      <c r="C13" s="5">
        <v>0</v>
      </c>
      <c r="D13" s="5">
        <f t="shared" si="0"/>
        <v>0.95105651629515353</v>
      </c>
      <c r="E13" s="5"/>
      <c r="F13" s="5">
        <f t="shared" si="1"/>
        <v>0.31698066440397465</v>
      </c>
      <c r="G13" s="5">
        <f t="shared" si="2"/>
        <v>0.31698066440397465</v>
      </c>
      <c r="H13" s="5">
        <f t="shared" si="3"/>
        <v>0.63407585189117888</v>
      </c>
    </row>
    <row r="14" spans="1:8" x14ac:dyDescent="0.3">
      <c r="A14" s="5">
        <v>0.95105651629515353</v>
      </c>
      <c r="B14" s="5">
        <v>1.2566370614359172</v>
      </c>
      <c r="C14" s="5">
        <v>0</v>
      </c>
      <c r="D14" s="5">
        <f t="shared" si="0"/>
        <v>0.95105651629515353</v>
      </c>
      <c r="E14" s="5"/>
      <c r="F14" s="5">
        <f t="shared" si="1"/>
        <v>0.25119269867242033</v>
      </c>
      <c r="G14" s="5">
        <f t="shared" si="2"/>
        <v>0.25119269867242033</v>
      </c>
      <c r="H14" s="5">
        <f t="shared" si="3"/>
        <v>0.6998638176227332</v>
      </c>
    </row>
    <row r="15" spans="1:8" x14ac:dyDescent="0.3">
      <c r="A15" s="5">
        <v>0.95105651629515353</v>
      </c>
      <c r="B15" s="5">
        <v>1.4922565104551517</v>
      </c>
      <c r="C15" s="5">
        <v>0</v>
      </c>
      <c r="D15" s="5">
        <f t="shared" si="0"/>
        <v>0.95105651629515353</v>
      </c>
      <c r="E15" s="5"/>
      <c r="F15" s="5">
        <f t="shared" si="1"/>
        <v>0.18540473294086596</v>
      </c>
      <c r="G15" s="5">
        <f t="shared" si="2"/>
        <v>0.18540473294086596</v>
      </c>
      <c r="H15" s="5">
        <f t="shared" si="3"/>
        <v>0.76565178335428752</v>
      </c>
    </row>
    <row r="16" spans="1:8" x14ac:dyDescent="0.3">
      <c r="A16" s="5">
        <v>0.98768834059513777</v>
      </c>
      <c r="B16" s="5">
        <v>1.4922565104551517</v>
      </c>
      <c r="C16" s="5">
        <v>0</v>
      </c>
      <c r="D16" s="5">
        <f t="shared" si="0"/>
        <v>0.98768834059513777</v>
      </c>
      <c r="E16" s="5"/>
      <c r="F16" s="5">
        <f t="shared" si="1"/>
        <v>0.11616384519478413</v>
      </c>
      <c r="G16" s="5">
        <f t="shared" si="2"/>
        <v>0.11616384519478413</v>
      </c>
      <c r="H16" s="5">
        <f t="shared" si="3"/>
        <v>0.87152449540035359</v>
      </c>
    </row>
    <row r="17" spans="1:8" x14ac:dyDescent="0.3">
      <c r="A17" s="5">
        <v>0.98768834059513777</v>
      </c>
      <c r="B17" s="5">
        <v>1.7278759594743864</v>
      </c>
      <c r="C17" s="5">
        <v>0</v>
      </c>
      <c r="D17" s="5">
        <f t="shared" si="0"/>
        <v>0.98768834059513777</v>
      </c>
      <c r="E17" s="5"/>
      <c r="F17" s="5">
        <f t="shared" si="1"/>
        <v>4.5614678009417146E-2</v>
      </c>
      <c r="G17" s="5">
        <f t="shared" si="2"/>
        <v>4.5614678009417146E-2</v>
      </c>
      <c r="H17" s="5">
        <f t="shared" si="3"/>
        <v>0.94207366258572067</v>
      </c>
    </row>
    <row r="18" spans="1:8" x14ac:dyDescent="0.3">
      <c r="A18" s="5">
        <v>0.98768834059513777</v>
      </c>
      <c r="B18" s="5">
        <v>1.8849555921538759</v>
      </c>
      <c r="C18" s="5">
        <v>0</v>
      </c>
      <c r="D18" s="5">
        <f t="shared" si="0"/>
        <v>0.98768834059513777</v>
      </c>
      <c r="E18" s="5"/>
      <c r="F18" s="5">
        <f t="shared" si="1"/>
        <v>-2.4934489175949832E-2</v>
      </c>
      <c r="G18" s="5">
        <f t="shared" si="2"/>
        <v>-2.4934489175949832E-2</v>
      </c>
      <c r="H18" s="5">
        <f t="shared" si="3"/>
        <v>1.0126228297710875</v>
      </c>
    </row>
    <row r="19" spans="1:8" x14ac:dyDescent="0.3">
      <c r="A19" s="5">
        <v>0.8910065241883679</v>
      </c>
      <c r="B19" s="5">
        <v>1.8849555921538759</v>
      </c>
      <c r="C19" s="5">
        <v>0</v>
      </c>
      <c r="D19" s="5">
        <f t="shared" si="0"/>
        <v>0.8910065241883679</v>
      </c>
      <c r="E19" s="5"/>
      <c r="F19" s="5">
        <f t="shared" si="1"/>
        <v>-9.4175376922031637E-2</v>
      </c>
      <c r="G19" s="5">
        <f t="shared" si="2"/>
        <v>-9.4175376922031637E-2</v>
      </c>
      <c r="H19" s="5">
        <f t="shared" si="3"/>
        <v>0.98518190111039949</v>
      </c>
    </row>
    <row r="20" spans="1:8" x14ac:dyDescent="0.3">
      <c r="A20" s="5">
        <v>0.8910065241883679</v>
      </c>
      <c r="B20" s="5">
        <v>2.0420352248333655</v>
      </c>
      <c r="C20" s="5">
        <v>0</v>
      </c>
      <c r="D20" s="5">
        <f t="shared" si="0"/>
        <v>0.8910065241883679</v>
      </c>
      <c r="E20" s="5"/>
      <c r="F20" s="5">
        <f t="shared" si="1"/>
        <v>-0.159963342653586</v>
      </c>
      <c r="G20" s="5">
        <f t="shared" si="2"/>
        <v>-0.159963342653586</v>
      </c>
      <c r="H20" s="5">
        <f t="shared" si="3"/>
        <v>1.0509698668419538</v>
      </c>
    </row>
    <row r="21" spans="1:8" x14ac:dyDescent="0.3">
      <c r="A21" s="5">
        <v>0.8910065241883679</v>
      </c>
      <c r="B21" s="5">
        <v>2.1598449493429825</v>
      </c>
      <c r="C21" s="5">
        <v>0</v>
      </c>
      <c r="D21" s="5">
        <f t="shared" si="0"/>
        <v>0.8910065241883679</v>
      </c>
      <c r="E21" s="5"/>
      <c r="F21" s="5">
        <f t="shared" si="1"/>
        <v>-0.22575130838514035</v>
      </c>
      <c r="G21" s="5">
        <f t="shared" si="2"/>
        <v>-0.22575130838514035</v>
      </c>
      <c r="H21" s="5">
        <f t="shared" si="3"/>
        <v>1.1167578325735081</v>
      </c>
    </row>
    <row r="22" spans="1:8" x14ac:dyDescent="0.3">
      <c r="A22" s="5">
        <v>0.76040596560003104</v>
      </c>
      <c r="B22" s="5">
        <v>2.1598449493429825</v>
      </c>
      <c r="C22" s="5">
        <v>0</v>
      </c>
      <c r="D22" s="5">
        <f t="shared" si="0"/>
        <v>0.76040596560003104</v>
      </c>
      <c r="E22" s="5"/>
      <c r="F22" s="5">
        <f t="shared" si="1"/>
        <v>-0.28939463154145234</v>
      </c>
      <c r="G22" s="5">
        <f t="shared" si="2"/>
        <v>-0.28939463154145234</v>
      </c>
      <c r="H22" s="5">
        <f t="shared" si="3"/>
        <v>1.0498005971414834</v>
      </c>
    </row>
    <row r="23" spans="1:8" x14ac:dyDescent="0.3">
      <c r="A23" s="5">
        <v>0.76040596560003104</v>
      </c>
      <c r="B23" s="5">
        <v>2.2776546738526</v>
      </c>
      <c r="C23" s="5">
        <v>0</v>
      </c>
      <c r="D23" s="5">
        <f t="shared" si="0"/>
        <v>0.76040596560003104</v>
      </c>
      <c r="E23" s="5"/>
      <c r="F23" s="5">
        <f t="shared" si="1"/>
        <v>-0.34837364903389517</v>
      </c>
      <c r="G23" s="5">
        <f t="shared" si="2"/>
        <v>-0.34837364903389517</v>
      </c>
      <c r="H23" s="5">
        <f t="shared" si="3"/>
        <v>1.1087796146339262</v>
      </c>
    </row>
    <row r="24" spans="1:8" x14ac:dyDescent="0.3">
      <c r="A24" s="5">
        <v>0.76040596560003104</v>
      </c>
      <c r="B24" s="5">
        <v>2.3169245820224726</v>
      </c>
      <c r="C24" s="5">
        <v>0</v>
      </c>
      <c r="D24" s="5">
        <f t="shared" si="0"/>
        <v>0.76040596560003104</v>
      </c>
      <c r="E24" s="5"/>
      <c r="F24" s="5">
        <f t="shared" si="1"/>
        <v>-0.40735266652633806</v>
      </c>
      <c r="G24" s="5">
        <f t="shared" si="2"/>
        <v>-0.40735266652633806</v>
      </c>
      <c r="H24" s="5">
        <f t="shared" si="3"/>
        <v>1.1677586321263691</v>
      </c>
    </row>
    <row r="25" spans="1:8" x14ac:dyDescent="0.3">
      <c r="A25" s="5">
        <v>0.70710678118654757</v>
      </c>
      <c r="B25" s="5">
        <v>2.3169245820224726</v>
      </c>
      <c r="C25" s="5">
        <v>0</v>
      </c>
      <c r="D25" s="5">
        <f t="shared" si="0"/>
        <v>0.70710678118654757</v>
      </c>
      <c r="E25" s="5"/>
      <c r="F25" s="5">
        <f t="shared" si="1"/>
        <v>-0.46340348652544444</v>
      </c>
      <c r="G25" s="5">
        <f t="shared" si="2"/>
        <v>-0.46340348652544444</v>
      </c>
      <c r="H25" s="5">
        <f t="shared" si="3"/>
        <v>1.1705102677119921</v>
      </c>
    </row>
    <row r="26" spans="1:8" x14ac:dyDescent="0.3">
      <c r="A26" s="5">
        <v>0.70710678118654757</v>
      </c>
      <c r="B26" s="5">
        <v>2.3561944901923448</v>
      </c>
      <c r="C26" s="5">
        <v>0</v>
      </c>
      <c r="D26" s="5">
        <f t="shared" si="0"/>
        <v>0.70710678118654757</v>
      </c>
      <c r="E26" s="5"/>
      <c r="F26" s="5">
        <f t="shared" si="1"/>
        <v>-0.51755076422406932</v>
      </c>
      <c r="G26" s="5">
        <f t="shared" si="2"/>
        <v>-0.51755076422406932</v>
      </c>
      <c r="H26" s="5">
        <f t="shared" si="3"/>
        <v>1.2246575454106168</v>
      </c>
    </row>
    <row r="27" spans="1:8" x14ac:dyDescent="0.3">
      <c r="A27" s="5">
        <v>0.70710678118654757</v>
      </c>
      <c r="B27" s="5">
        <v>2.5918139392115793</v>
      </c>
      <c r="C27" s="5">
        <v>0</v>
      </c>
      <c r="D27" s="5">
        <f t="shared" si="0"/>
        <v>0.70710678118654757</v>
      </c>
      <c r="E27" s="5"/>
      <c r="F27" s="5">
        <f t="shared" si="1"/>
        <v>-0.57169804192269413</v>
      </c>
      <c r="G27" s="5">
        <f t="shared" si="2"/>
        <v>-0.57169804192269413</v>
      </c>
      <c r="H27" s="5">
        <f t="shared" si="3"/>
        <v>1.2788048231092417</v>
      </c>
    </row>
    <row r="28" spans="1:8" x14ac:dyDescent="0.3">
      <c r="A28" s="5">
        <v>0.30901699437494751</v>
      </c>
      <c r="B28" s="5">
        <v>2.5918139392115793</v>
      </c>
      <c r="C28" s="5">
        <v>0</v>
      </c>
      <c r="D28" s="5">
        <f t="shared" si="0"/>
        <v>0.30901699437494751</v>
      </c>
      <c r="E28" s="5"/>
      <c r="F28" s="5">
        <f t="shared" si="1"/>
        <v>-0.61794418597551637</v>
      </c>
      <c r="G28" s="5">
        <f t="shared" si="2"/>
        <v>-0.61794418597551637</v>
      </c>
      <c r="H28" s="5">
        <f t="shared" si="3"/>
        <v>0.92696118035046382</v>
      </c>
    </row>
    <row r="29" spans="1:8" x14ac:dyDescent="0.3">
      <c r="A29" s="5">
        <v>0.30901699437494751</v>
      </c>
      <c r="B29" s="5">
        <v>2.8274333882308138</v>
      </c>
      <c r="C29" s="5">
        <v>0</v>
      </c>
      <c r="D29" s="5">
        <f t="shared" si="0"/>
        <v>0.30901699437494751</v>
      </c>
      <c r="E29" s="5"/>
      <c r="F29" s="5">
        <f t="shared" si="1"/>
        <v>-0.64997283764220981</v>
      </c>
      <c r="G29" s="5">
        <f t="shared" si="2"/>
        <v>-0.64997283764220981</v>
      </c>
      <c r="H29" s="5">
        <f t="shared" si="3"/>
        <v>0.95898983201715726</v>
      </c>
    </row>
    <row r="30" spans="1:8" x14ac:dyDescent="0.3">
      <c r="A30" s="5">
        <v>0.30901699437494751</v>
      </c>
      <c r="B30" s="5">
        <v>3.1415926535897931</v>
      </c>
      <c r="C30" s="5">
        <v>0</v>
      </c>
      <c r="D30" s="5">
        <f t="shared" si="0"/>
        <v>0.30901699437494751</v>
      </c>
      <c r="E30" s="5">
        <f>B30</f>
        <v>3.1415926535897931</v>
      </c>
      <c r="F30" s="5">
        <f>E30</f>
        <v>3.1415926535897931</v>
      </c>
      <c r="G30" s="5">
        <f t="shared" si="2"/>
        <v>3.1415926535897931</v>
      </c>
      <c r="H30" s="5">
        <f t="shared" si="3"/>
        <v>-2.8325756592148457</v>
      </c>
    </row>
    <row r="31" spans="1:8" x14ac:dyDescent="0.3">
      <c r="A31" s="5">
        <v>-0.3090169943749469</v>
      </c>
      <c r="B31" s="5">
        <v>3.1415926535897931</v>
      </c>
      <c r="C31" s="5">
        <v>0</v>
      </c>
      <c r="D31" s="5">
        <f t="shared" si="0"/>
        <v>-0.3090169943749469</v>
      </c>
      <c r="E31" s="5"/>
      <c r="F31" s="5">
        <f>SUM(D31:D62)/32</f>
        <v>-0.62107381531702932</v>
      </c>
      <c r="G31" s="5">
        <f t="shared" si="2"/>
        <v>-0.62107381531702932</v>
      </c>
      <c r="H31" s="5">
        <f t="shared" si="3"/>
        <v>0.31205682094208242</v>
      </c>
    </row>
    <row r="32" spans="1:8" x14ac:dyDescent="0.3">
      <c r="A32" s="5">
        <v>-0.3090169943749469</v>
      </c>
      <c r="B32" s="5">
        <v>3.4557519189487729</v>
      </c>
      <c r="C32" s="5">
        <v>0</v>
      </c>
      <c r="D32" s="5">
        <f t="shared" si="0"/>
        <v>-0.3090169943749469</v>
      </c>
      <c r="E32" s="5"/>
      <c r="F32" s="5">
        <f t="shared" ref="F32:F62" si="4">SUM(D32:D63)/32</f>
        <v>-0.61141703424281224</v>
      </c>
      <c r="G32" s="5">
        <f t="shared" si="2"/>
        <v>-0.61141703424281224</v>
      </c>
      <c r="H32" s="5">
        <f t="shared" si="3"/>
        <v>0.30240003986786534</v>
      </c>
    </row>
    <row r="33" spans="1:8" x14ac:dyDescent="0.3">
      <c r="A33" s="5">
        <v>-0.3090169943749469</v>
      </c>
      <c r="B33" s="5">
        <v>3.5342917352885173</v>
      </c>
      <c r="C33" s="5">
        <v>0</v>
      </c>
      <c r="D33" s="5">
        <f t="shared" si="0"/>
        <v>-0.3090169943749469</v>
      </c>
      <c r="E33" s="5"/>
      <c r="F33" s="5">
        <f t="shared" si="4"/>
        <v>-0.60176025316859516</v>
      </c>
      <c r="G33" s="5">
        <f t="shared" si="2"/>
        <v>-0.60176025316859516</v>
      </c>
      <c r="H33" s="5">
        <f t="shared" si="3"/>
        <v>0.29274325879364826</v>
      </c>
    </row>
    <row r="34" spans="1:8" x14ac:dyDescent="0.3">
      <c r="A34" s="5">
        <v>-0.45399049973954669</v>
      </c>
      <c r="B34" s="5">
        <v>3.5342917352885173</v>
      </c>
      <c r="C34" s="5">
        <v>0</v>
      </c>
      <c r="D34" s="5">
        <f t="shared" si="0"/>
        <v>-0.45399049973954669</v>
      </c>
      <c r="E34" s="5"/>
      <c r="F34" s="5">
        <f t="shared" si="4"/>
        <v>-0.59210347209437808</v>
      </c>
      <c r="G34" s="5">
        <f t="shared" si="2"/>
        <v>-0.59210347209437808</v>
      </c>
      <c r="H34" s="5">
        <f t="shared" si="3"/>
        <v>0.13811297235483139</v>
      </c>
    </row>
    <row r="35" spans="1:8" x14ac:dyDescent="0.3">
      <c r="A35" s="5">
        <v>-0.45399049973954669</v>
      </c>
      <c r="B35" s="5">
        <v>3.6128315516282616</v>
      </c>
      <c r="C35" s="5">
        <v>0</v>
      </c>
      <c r="D35" s="5">
        <f t="shared" si="0"/>
        <v>-0.45399049973954669</v>
      </c>
      <c r="E35" s="5"/>
      <c r="F35" s="5">
        <f t="shared" si="4"/>
        <v>-0.57791626897751724</v>
      </c>
      <c r="G35" s="5">
        <f t="shared" si="2"/>
        <v>-0.57791626897751724</v>
      </c>
      <c r="H35" s="5">
        <f t="shared" si="3"/>
        <v>0.12392576923797055</v>
      </c>
    </row>
    <row r="36" spans="1:8" x14ac:dyDescent="0.3">
      <c r="A36" s="5">
        <v>-0.45399049973954669</v>
      </c>
      <c r="B36" s="5">
        <v>3.6913713679680069</v>
      </c>
      <c r="C36" s="5">
        <v>0</v>
      </c>
      <c r="D36" s="5">
        <f t="shared" si="0"/>
        <v>-0.45399049973954669</v>
      </c>
      <c r="E36" s="5"/>
      <c r="F36" s="5">
        <f t="shared" si="4"/>
        <v>-0.56372906586065641</v>
      </c>
      <c r="G36" s="5">
        <f t="shared" si="2"/>
        <v>-0.56372906586065641</v>
      </c>
      <c r="H36" s="5">
        <f t="shared" si="3"/>
        <v>0.10973856612110972</v>
      </c>
    </row>
    <row r="37" spans="1:8" x14ac:dyDescent="0.3">
      <c r="A37" s="5">
        <v>-0.58778525229247303</v>
      </c>
      <c r="B37" s="5">
        <v>3.6913713679680069</v>
      </c>
      <c r="C37" s="5">
        <v>0</v>
      </c>
      <c r="D37" s="5">
        <f t="shared" si="0"/>
        <v>-0.58778525229247303</v>
      </c>
      <c r="E37" s="5"/>
      <c r="F37" s="5">
        <f t="shared" si="4"/>
        <v>-0.54954186274379557</v>
      </c>
      <c r="G37" s="5">
        <f t="shared" si="2"/>
        <v>-0.54954186274379557</v>
      </c>
      <c r="H37" s="5">
        <f t="shared" si="3"/>
        <v>-3.8243389548677453E-2</v>
      </c>
    </row>
    <row r="38" spans="1:8" x14ac:dyDescent="0.3">
      <c r="A38" s="5">
        <v>-0.58778525229247303</v>
      </c>
      <c r="B38" s="5">
        <v>3.7699111843077517</v>
      </c>
      <c r="C38" s="5">
        <v>0</v>
      </c>
      <c r="D38" s="5">
        <f t="shared" si="0"/>
        <v>-0.58778525229247303</v>
      </c>
      <c r="E38" s="5"/>
      <c r="F38" s="5">
        <f t="shared" si="4"/>
        <v>-0.53117357360965578</v>
      </c>
      <c r="G38" s="5">
        <f t="shared" si="2"/>
        <v>-0.53117357360965578</v>
      </c>
      <c r="H38" s="5">
        <f t="shared" si="3"/>
        <v>-5.6611678682817246E-2</v>
      </c>
    </row>
    <row r="39" spans="1:8" x14ac:dyDescent="0.3">
      <c r="A39" s="5">
        <v>-0.58778525229247303</v>
      </c>
      <c r="B39" s="5">
        <v>4.0055306333269858</v>
      </c>
      <c r="C39" s="5">
        <v>0</v>
      </c>
      <c r="D39" s="5">
        <f t="shared" si="0"/>
        <v>-0.58778525229247303</v>
      </c>
      <c r="E39" s="5"/>
      <c r="F39" s="5">
        <f t="shared" si="4"/>
        <v>-0.51280528447551599</v>
      </c>
      <c r="G39" s="5">
        <f t="shared" si="2"/>
        <v>-0.51280528447551599</v>
      </c>
      <c r="H39" s="5">
        <f t="shared" si="3"/>
        <v>-7.4979967816957038E-2</v>
      </c>
    </row>
    <row r="40" spans="1:8" x14ac:dyDescent="0.3">
      <c r="A40" s="5">
        <v>-0.89100652418836779</v>
      </c>
      <c r="B40" s="5">
        <v>4.0055306333269858</v>
      </c>
      <c r="C40" s="5">
        <v>0</v>
      </c>
      <c r="D40" s="5">
        <f t="shared" si="0"/>
        <v>-0.89100652418836779</v>
      </c>
      <c r="E40" s="5"/>
      <c r="F40" s="5">
        <f t="shared" si="4"/>
        <v>-0.49443699534137625</v>
      </c>
      <c r="G40" s="5">
        <f t="shared" si="2"/>
        <v>-0.49443699534137625</v>
      </c>
      <c r="H40" s="5">
        <f t="shared" si="3"/>
        <v>-0.39656952884699154</v>
      </c>
    </row>
    <row r="41" spans="1:8" x14ac:dyDescent="0.3">
      <c r="A41" s="5">
        <v>-0.89100652418836779</v>
      </c>
      <c r="B41" s="5">
        <v>4.2411500823462207</v>
      </c>
      <c r="C41" s="5">
        <v>0</v>
      </c>
      <c r="D41" s="5">
        <f t="shared" si="0"/>
        <v>-0.89100652418836779</v>
      </c>
      <c r="E41" s="5"/>
      <c r="F41" s="5">
        <f t="shared" si="4"/>
        <v>-0.46659304146048974</v>
      </c>
      <c r="G41" s="5">
        <f t="shared" si="2"/>
        <v>-0.46659304146048974</v>
      </c>
      <c r="H41" s="5">
        <f t="shared" si="3"/>
        <v>-0.42441348272787804</v>
      </c>
    </row>
    <row r="42" spans="1:8" x14ac:dyDescent="0.3">
      <c r="A42" s="5">
        <v>-0.89100652418836779</v>
      </c>
      <c r="B42" s="5">
        <v>4.3982297150257104</v>
      </c>
      <c r="C42" s="5">
        <v>0</v>
      </c>
      <c r="D42" s="5">
        <f t="shared" si="0"/>
        <v>-0.89100652418836779</v>
      </c>
      <c r="E42" s="5"/>
      <c r="F42" s="5">
        <f t="shared" si="4"/>
        <v>-0.43874908757960329</v>
      </c>
      <c r="G42" s="5">
        <f t="shared" si="2"/>
        <v>-0.43874908757960329</v>
      </c>
      <c r="H42" s="5">
        <f t="shared" si="3"/>
        <v>-0.4522574366087645</v>
      </c>
    </row>
    <row r="43" spans="1:8" x14ac:dyDescent="0.3">
      <c r="A43" s="5">
        <v>-0.98768834059513766</v>
      </c>
      <c r="B43" s="5">
        <v>4.3982297150257104</v>
      </c>
      <c r="C43" s="5">
        <v>0</v>
      </c>
      <c r="D43" s="5">
        <f t="shared" si="0"/>
        <v>-0.98768834059513766</v>
      </c>
      <c r="E43" s="5"/>
      <c r="F43" s="5">
        <f t="shared" si="4"/>
        <v>-0.41090513369871678</v>
      </c>
      <c r="G43" s="5">
        <f t="shared" si="2"/>
        <v>-0.41090513369871678</v>
      </c>
      <c r="H43" s="5">
        <f t="shared" si="3"/>
        <v>-0.57678320689642093</v>
      </c>
    </row>
    <row r="44" spans="1:8" x14ac:dyDescent="0.3">
      <c r="A44" s="5">
        <v>-0.98768834059513766</v>
      </c>
      <c r="B44" s="5">
        <v>4.5553093477052</v>
      </c>
      <c r="C44" s="5">
        <v>0</v>
      </c>
      <c r="D44" s="5">
        <f t="shared" si="0"/>
        <v>-0.98768834059513766</v>
      </c>
      <c r="E44" s="5"/>
      <c r="F44" s="5">
        <f t="shared" si="4"/>
        <v>-0.38003987305511872</v>
      </c>
      <c r="G44" s="5">
        <f t="shared" si="2"/>
        <v>-0.38003987305511872</v>
      </c>
      <c r="H44" s="5">
        <f t="shared" si="3"/>
        <v>-0.60764846754001889</v>
      </c>
    </row>
    <row r="45" spans="1:8" x14ac:dyDescent="0.3">
      <c r="A45" s="5">
        <v>-0.98768834059513766</v>
      </c>
      <c r="B45" s="5">
        <v>4.7909287967244341</v>
      </c>
      <c r="C45" s="5">
        <v>0</v>
      </c>
      <c r="D45" s="5">
        <f t="shared" si="0"/>
        <v>-0.98768834059513766</v>
      </c>
      <c r="E45" s="5"/>
      <c r="F45" s="5">
        <f t="shared" si="4"/>
        <v>-0.34917461241152065</v>
      </c>
      <c r="G45" s="5">
        <f t="shared" si="2"/>
        <v>-0.34917461241152065</v>
      </c>
      <c r="H45" s="5">
        <f t="shared" si="3"/>
        <v>-0.63851372818361707</v>
      </c>
    </row>
    <row r="46" spans="1:8" x14ac:dyDescent="0.3">
      <c r="A46" s="5">
        <v>-0.95105651629515364</v>
      </c>
      <c r="B46" s="5">
        <v>4.7909287967244341</v>
      </c>
      <c r="C46" s="5">
        <v>0</v>
      </c>
      <c r="D46" s="5">
        <f t="shared" si="0"/>
        <v>-0.95105651629515364</v>
      </c>
      <c r="E46" s="5"/>
      <c r="F46" s="5">
        <f t="shared" si="4"/>
        <v>-0.31830935176792252</v>
      </c>
      <c r="G46" s="5">
        <f t="shared" si="2"/>
        <v>-0.31830935176792252</v>
      </c>
      <c r="H46" s="5">
        <f t="shared" si="3"/>
        <v>-0.63274716452723112</v>
      </c>
    </row>
    <row r="47" spans="1:8" x14ac:dyDescent="0.3">
      <c r="A47" s="5">
        <v>-0.95105651629515364</v>
      </c>
      <c r="B47" s="5">
        <v>5.026548245743669</v>
      </c>
      <c r="C47" s="5">
        <v>0</v>
      </c>
      <c r="D47" s="5">
        <f t="shared" si="0"/>
        <v>-0.95105651629515364</v>
      </c>
      <c r="E47" s="5"/>
      <c r="F47" s="5">
        <f t="shared" si="4"/>
        <v>-0.28858883563369897</v>
      </c>
      <c r="G47" s="5">
        <f t="shared" si="2"/>
        <v>-0.28858883563369897</v>
      </c>
      <c r="H47" s="5">
        <f t="shared" si="3"/>
        <v>-0.66246768066145467</v>
      </c>
    </row>
    <row r="48" spans="1:8" x14ac:dyDescent="0.3">
      <c r="A48" s="5">
        <v>-0.95105651629515364</v>
      </c>
      <c r="B48" s="5">
        <v>5.1050880620834143</v>
      </c>
      <c r="C48" s="5">
        <v>0</v>
      </c>
      <c r="D48" s="5">
        <f t="shared" si="0"/>
        <v>-0.95105651629515364</v>
      </c>
      <c r="E48" s="5"/>
      <c r="F48" s="5">
        <f t="shared" si="4"/>
        <v>-0.25886831949947542</v>
      </c>
      <c r="G48" s="5">
        <f t="shared" si="2"/>
        <v>-0.25886831949947542</v>
      </c>
      <c r="H48" s="5">
        <f t="shared" si="3"/>
        <v>-0.69218819679567822</v>
      </c>
    </row>
    <row r="49" spans="1:8" x14ac:dyDescent="0.3">
      <c r="A49" s="5">
        <v>-0.8910065241883679</v>
      </c>
      <c r="B49" s="5">
        <v>5.1050880620834143</v>
      </c>
      <c r="C49" s="5">
        <v>0</v>
      </c>
      <c r="D49" s="5">
        <f t="shared" si="0"/>
        <v>-0.8910065241883679</v>
      </c>
      <c r="E49" s="5"/>
      <c r="F49" s="5">
        <f t="shared" si="4"/>
        <v>-0.22914780336525187</v>
      </c>
      <c r="G49" s="5">
        <f t="shared" si="2"/>
        <v>-0.22914780336525187</v>
      </c>
      <c r="H49" s="5">
        <f t="shared" si="3"/>
        <v>-0.66185872082311603</v>
      </c>
    </row>
    <row r="50" spans="1:8" x14ac:dyDescent="0.3">
      <c r="A50" s="5">
        <v>-0.8910065241883679</v>
      </c>
      <c r="B50" s="5">
        <v>5.1836278784231586</v>
      </c>
      <c r="C50" s="5">
        <v>0</v>
      </c>
      <c r="D50" s="5">
        <f t="shared" si="0"/>
        <v>-0.8910065241883679</v>
      </c>
      <c r="E50" s="5"/>
      <c r="F50" s="5">
        <f t="shared" si="4"/>
        <v>-0.20130384948436539</v>
      </c>
      <c r="G50" s="5">
        <f t="shared" si="2"/>
        <v>-0.20130384948436539</v>
      </c>
      <c r="H50" s="5">
        <f t="shared" si="3"/>
        <v>-0.68970267470400248</v>
      </c>
    </row>
    <row r="51" spans="1:8" x14ac:dyDescent="0.3">
      <c r="A51" s="5">
        <v>-0.8910065241883679</v>
      </c>
      <c r="B51" s="5">
        <v>5.2621676947629039</v>
      </c>
      <c r="C51" s="5">
        <v>0</v>
      </c>
      <c r="D51" s="5">
        <f t="shared" si="0"/>
        <v>-0.8910065241883679</v>
      </c>
      <c r="E51" s="5"/>
      <c r="F51" s="5">
        <f t="shared" si="4"/>
        <v>-0.17345989560347888</v>
      </c>
      <c r="G51" s="5">
        <f t="shared" si="2"/>
        <v>-0.17345989560347888</v>
      </c>
      <c r="H51" s="5">
        <f t="shared" si="3"/>
        <v>-0.71754662858488905</v>
      </c>
    </row>
    <row r="52" spans="1:8" x14ac:dyDescent="0.3">
      <c r="A52" s="5">
        <v>-0.80901699437494756</v>
      </c>
      <c r="B52" s="5">
        <v>5.2621676947629039</v>
      </c>
      <c r="C52" s="5">
        <v>0</v>
      </c>
      <c r="D52" s="5">
        <f t="shared" si="0"/>
        <v>-0.80901699437494756</v>
      </c>
      <c r="E52" s="5"/>
      <c r="F52" s="5">
        <f t="shared" si="4"/>
        <v>-0.1456159417225924</v>
      </c>
      <c r="G52" s="5">
        <f t="shared" si="2"/>
        <v>-0.1456159417225924</v>
      </c>
      <c r="H52" s="5">
        <f t="shared" si="3"/>
        <v>-0.66340105265235516</v>
      </c>
    </row>
    <row r="53" spans="1:8" x14ac:dyDescent="0.3">
      <c r="A53" s="5">
        <v>-0.80901699437494756</v>
      </c>
      <c r="B53" s="5">
        <v>5.3407075111026483</v>
      </c>
      <c r="C53" s="5">
        <v>0</v>
      </c>
      <c r="D53" s="5">
        <f t="shared" si="0"/>
        <v>-0.80901699437494756</v>
      </c>
      <c r="E53" s="5"/>
      <c r="F53" s="5">
        <f t="shared" si="4"/>
        <v>-0.12033416064837529</v>
      </c>
      <c r="G53" s="5">
        <f t="shared" si="2"/>
        <v>-0.12033416064837529</v>
      </c>
      <c r="H53" s="5">
        <f t="shared" si="3"/>
        <v>-0.68868283372657224</v>
      </c>
    </row>
    <row r="54" spans="1:8" x14ac:dyDescent="0.3">
      <c r="A54" s="5">
        <v>-0.80901699437494756</v>
      </c>
      <c r="B54" s="5">
        <v>5.497787143782138</v>
      </c>
      <c r="C54" s="5">
        <v>0</v>
      </c>
      <c r="D54" s="5">
        <f t="shared" si="0"/>
        <v>-0.80901699437494756</v>
      </c>
      <c r="E54" s="5"/>
      <c r="F54" s="5">
        <f t="shared" si="4"/>
        <v>-9.5052379574158186E-2</v>
      </c>
      <c r="G54" s="5">
        <f t="shared" si="2"/>
        <v>-9.5052379574158186E-2</v>
      </c>
      <c r="H54" s="5">
        <f t="shared" si="3"/>
        <v>-0.71396461480078943</v>
      </c>
    </row>
    <row r="55" spans="1:8" x14ac:dyDescent="0.3">
      <c r="A55" s="5">
        <v>-0.58778525229247336</v>
      </c>
      <c r="B55" s="5">
        <v>5.497787143782138</v>
      </c>
      <c r="C55" s="5">
        <v>0</v>
      </c>
      <c r="D55" s="5">
        <f t="shared" si="0"/>
        <v>-0.58778525229247336</v>
      </c>
      <c r="E55" s="5"/>
      <c r="F55" s="5">
        <f t="shared" si="4"/>
        <v>-6.9770598499941078E-2</v>
      </c>
      <c r="G55" s="5">
        <f t="shared" si="2"/>
        <v>-6.9770598499941078E-2</v>
      </c>
      <c r="H55" s="5">
        <f t="shared" si="3"/>
        <v>-0.51801465379253231</v>
      </c>
    </row>
    <row r="56" spans="1:8" x14ac:dyDescent="0.3">
      <c r="A56" s="5">
        <v>-0.58778525229247336</v>
      </c>
      <c r="B56" s="5">
        <v>5.6548667764616276</v>
      </c>
      <c r="C56" s="5">
        <v>0</v>
      </c>
      <c r="D56" s="5">
        <f t="shared" si="0"/>
        <v>-0.58778525229247336</v>
      </c>
      <c r="E56" s="5"/>
      <c r="F56" s="5">
        <f t="shared" si="4"/>
        <v>-5.1402309365801271E-2</v>
      </c>
      <c r="G56" s="5">
        <f t="shared" si="2"/>
        <v>-5.1402309365801271E-2</v>
      </c>
      <c r="H56" s="5">
        <f t="shared" si="3"/>
        <v>-0.5363829429266721</v>
      </c>
    </row>
    <row r="57" spans="1:8" x14ac:dyDescent="0.3">
      <c r="A57" s="5">
        <v>-0.58778525229247336</v>
      </c>
      <c r="B57" s="5">
        <v>5.8904862254808616</v>
      </c>
      <c r="C57" s="5">
        <v>0</v>
      </c>
      <c r="D57" s="5">
        <f t="shared" si="0"/>
        <v>-0.58778525229247336</v>
      </c>
      <c r="E57" s="5"/>
      <c r="F57" s="5">
        <f t="shared" si="4"/>
        <v>-3.3034020231661479E-2</v>
      </c>
      <c r="G57" s="5">
        <f t="shared" si="2"/>
        <v>-3.3034020231661479E-2</v>
      </c>
      <c r="H57" s="5">
        <f t="shared" si="3"/>
        <v>-0.55475123206081189</v>
      </c>
    </row>
    <row r="58" spans="1:8" x14ac:dyDescent="0.3">
      <c r="A58" s="5">
        <v>-0.15643446504023112</v>
      </c>
      <c r="B58" s="5">
        <v>5.8904862254808616</v>
      </c>
      <c r="C58" s="5">
        <v>0</v>
      </c>
      <c r="D58" s="5">
        <f t="shared" si="0"/>
        <v>-0.15643446504023112</v>
      </c>
      <c r="E58" s="5"/>
      <c r="F58" s="5">
        <f t="shared" si="4"/>
        <v>-1.4665731097521681E-2</v>
      </c>
      <c r="G58" s="5">
        <f t="shared" si="2"/>
        <v>-1.4665731097521681E-2</v>
      </c>
      <c r="H58" s="5">
        <f t="shared" si="3"/>
        <v>-0.14176873394270945</v>
      </c>
    </row>
    <row r="59" spans="1:8" x14ac:dyDescent="0.3">
      <c r="A59" s="5">
        <v>-0.15643446504023112</v>
      </c>
      <c r="B59" s="5">
        <v>6.1261056745000966</v>
      </c>
      <c r="C59" s="5">
        <v>0</v>
      </c>
      <c r="D59" s="5">
        <f t="shared" si="0"/>
        <v>-0.15643446504023112</v>
      </c>
      <c r="E59" s="5"/>
      <c r="F59" s="5">
        <f t="shared" si="4"/>
        <v>-9.7771540650144588E-3</v>
      </c>
      <c r="G59" s="5">
        <f t="shared" si="2"/>
        <v>-9.7771540650144588E-3</v>
      </c>
      <c r="H59" s="5">
        <f t="shared" si="3"/>
        <v>-0.14665731097521667</v>
      </c>
    </row>
    <row r="60" spans="1:8" x14ac:dyDescent="0.3">
      <c r="A60" s="5">
        <v>-0.15643446504023112</v>
      </c>
      <c r="B60" s="5">
        <v>6.2046454908398418</v>
      </c>
      <c r="C60" s="5">
        <v>0</v>
      </c>
      <c r="D60" s="5">
        <f t="shared" si="0"/>
        <v>-0.15643446504023112</v>
      </c>
      <c r="E60" s="5"/>
      <c r="F60" s="5">
        <f t="shared" si="4"/>
        <v>-4.8885770325072381E-3</v>
      </c>
      <c r="G60" s="5">
        <f t="shared" si="2"/>
        <v>-4.8885770325072381E-3</v>
      </c>
      <c r="H60" s="5">
        <f t="shared" si="3"/>
        <v>-0.15154588800772389</v>
      </c>
    </row>
    <row r="61" spans="1:8" x14ac:dyDescent="0.3">
      <c r="A61" s="5">
        <v>-2.45029690981724E-16</v>
      </c>
      <c r="B61" s="5">
        <v>6.2046454908398418</v>
      </c>
      <c r="C61" s="5">
        <v>0</v>
      </c>
      <c r="D61" s="5">
        <f t="shared" si="0"/>
        <v>-2.45029690981724E-16</v>
      </c>
      <c r="E61" s="5"/>
      <c r="F61" s="5">
        <f t="shared" si="4"/>
        <v>-1.531435568635775E-17</v>
      </c>
      <c r="G61" s="5">
        <f t="shared" si="2"/>
        <v>-1.531435568635775E-17</v>
      </c>
      <c r="H61" s="5">
        <f t="shared" si="3"/>
        <v>-2.2971533529536625E-16</v>
      </c>
    </row>
    <row r="62" spans="1:8" x14ac:dyDescent="0.3">
      <c r="A62" s="5">
        <v>-2.45029690981724E-16</v>
      </c>
      <c r="B62" s="5">
        <v>6.2831853071795862</v>
      </c>
      <c r="C62" s="5">
        <v>0</v>
      </c>
      <c r="D62" s="5">
        <f t="shared" si="0"/>
        <v>-2.45029690981724E-16</v>
      </c>
      <c r="E62" s="5"/>
      <c r="F62" s="5">
        <f t="shared" si="4"/>
        <v>-7.6571778431788751E-18</v>
      </c>
      <c r="G62" s="5">
        <f t="shared" si="2"/>
        <v>-7.6571778431788751E-18</v>
      </c>
      <c r="H62" s="5">
        <f t="shared" si="3"/>
        <v>-2.3737251313854513E-16</v>
      </c>
    </row>
    <row r="64" spans="1:8" x14ac:dyDescent="0.3">
      <c r="A64" s="2" t="s">
        <v>9</v>
      </c>
      <c r="B64" s="3"/>
      <c r="C64" s="3"/>
      <c r="D64" s="3"/>
      <c r="E64" s="3"/>
      <c r="F64" s="3"/>
      <c r="G64" s="3"/>
      <c r="H64" s="3"/>
    </row>
    <row r="65" spans="1:8" x14ac:dyDescent="0.3">
      <c r="A65" s="3"/>
      <c r="B65" s="3"/>
      <c r="C65" s="3"/>
      <c r="D65" s="3"/>
      <c r="E65" s="3"/>
      <c r="F65" s="3"/>
      <c r="G65" s="3"/>
      <c r="H65" s="3"/>
    </row>
    <row r="66" spans="1:8" x14ac:dyDescent="0.3">
      <c r="A66" s="3"/>
      <c r="B66" s="3"/>
      <c r="C66" s="3"/>
      <c r="D66" s="3"/>
      <c r="E66" s="3"/>
      <c r="F66" s="3"/>
      <c r="G66" s="3"/>
      <c r="H66" s="3"/>
    </row>
    <row r="67" spans="1:8" x14ac:dyDescent="0.3">
      <c r="A67" s="7" t="s">
        <v>7</v>
      </c>
      <c r="B67" s="7" t="s">
        <v>4</v>
      </c>
      <c r="C67" s="7" t="s">
        <v>5</v>
      </c>
      <c r="D67" s="7" t="s">
        <v>6</v>
      </c>
      <c r="E67" s="7" t="s">
        <v>7</v>
      </c>
    </row>
    <row r="68" spans="1:8" x14ac:dyDescent="0.3">
      <c r="A68">
        <v>-0.69774813968429983</v>
      </c>
    </row>
    <row r="69" spans="1:8" x14ac:dyDescent="0.3">
      <c r="A69">
        <v>-0.70878446091197655</v>
      </c>
    </row>
    <row r="70" spans="1:8" x14ac:dyDescent="0.3">
      <c r="A70">
        <v>-0.38873114530935243</v>
      </c>
    </row>
    <row r="71" spans="1:8" x14ac:dyDescent="0.3">
      <c r="A71">
        <v>-0.36665850285399898</v>
      </c>
    </row>
    <row r="72" spans="1:8" x14ac:dyDescent="0.3">
      <c r="A72">
        <v>-0.34458586039864553</v>
      </c>
    </row>
    <row r="73" spans="1:8" x14ac:dyDescent="0.3">
      <c r="A73">
        <v>0.18266440724830069</v>
      </c>
    </row>
    <row r="74" spans="1:8" x14ac:dyDescent="0.3">
      <c r="A74">
        <v>0.22777181775238975</v>
      </c>
    </row>
    <row r="75" spans="1:8" x14ac:dyDescent="0.3">
      <c r="A75">
        <v>0.27287922825647881</v>
      </c>
    </row>
    <row r="76" spans="1:8" x14ac:dyDescent="0.3">
      <c r="A76">
        <v>0.40475455259373538</v>
      </c>
    </row>
    <row r="77" spans="1:8" x14ac:dyDescent="0.3">
      <c r="A77">
        <v>0.45756854461090818</v>
      </c>
    </row>
    <row r="78" spans="1:8" x14ac:dyDescent="0.3">
      <c r="A78">
        <v>0.51038253662808108</v>
      </c>
    </row>
    <row r="79" spans="1:8" x14ac:dyDescent="0.3">
      <c r="A79">
        <v>0.63407585189117888</v>
      </c>
    </row>
    <row r="80" spans="1:8" x14ac:dyDescent="0.3">
      <c r="A80">
        <v>0.6998638176227332</v>
      </c>
    </row>
    <row r="81" spans="1:1" x14ac:dyDescent="0.3">
      <c r="A81">
        <v>0.76565178335428752</v>
      </c>
    </row>
    <row r="82" spans="1:1" x14ac:dyDescent="0.3">
      <c r="A82">
        <v>0.87152449540035359</v>
      </c>
    </row>
    <row r="83" spans="1:1" x14ac:dyDescent="0.3">
      <c r="A83">
        <v>0.94207366258572067</v>
      </c>
    </row>
    <row r="84" spans="1:1" x14ac:dyDescent="0.3">
      <c r="A84">
        <v>1.0126228297710875</v>
      </c>
    </row>
    <row r="85" spans="1:1" x14ac:dyDescent="0.3">
      <c r="A85">
        <v>0.98518190111039949</v>
      </c>
    </row>
    <row r="86" spans="1:1" x14ac:dyDescent="0.3">
      <c r="A86">
        <v>1.0509698668419538</v>
      </c>
    </row>
    <row r="87" spans="1:1" x14ac:dyDescent="0.3">
      <c r="A87">
        <v>1.1167578325735081</v>
      </c>
    </row>
    <row r="88" spans="1:1" x14ac:dyDescent="0.3">
      <c r="A88">
        <v>1.0498005971414834</v>
      </c>
    </row>
    <row r="89" spans="1:1" x14ac:dyDescent="0.3">
      <c r="A89">
        <v>1.1087796146339262</v>
      </c>
    </row>
    <row r="90" spans="1:1" x14ac:dyDescent="0.3">
      <c r="A90">
        <v>1.1677586321263691</v>
      </c>
    </row>
    <row r="91" spans="1:1" x14ac:dyDescent="0.3">
      <c r="A91">
        <v>1.1705102677119921</v>
      </c>
    </row>
    <row r="92" spans="1:1" x14ac:dyDescent="0.3">
      <c r="A92">
        <v>1.2246575454106168</v>
      </c>
    </row>
    <row r="93" spans="1:1" x14ac:dyDescent="0.3">
      <c r="A93">
        <v>1.2788048231092417</v>
      </c>
    </row>
    <row r="94" spans="1:1" x14ac:dyDescent="0.3">
      <c r="A94">
        <v>0.92696118035046382</v>
      </c>
    </row>
    <row r="95" spans="1:1" x14ac:dyDescent="0.3">
      <c r="A95">
        <v>0.95898983201715726</v>
      </c>
    </row>
    <row r="96" spans="1:1" x14ac:dyDescent="0.3">
      <c r="A96">
        <v>-2.8325756592148457</v>
      </c>
    </row>
    <row r="97" spans="1:1" x14ac:dyDescent="0.3">
      <c r="A97">
        <v>0.31205682094208242</v>
      </c>
    </row>
    <row r="98" spans="1:1" x14ac:dyDescent="0.3">
      <c r="A98">
        <v>0.30240003986786534</v>
      </c>
    </row>
    <row r="99" spans="1:1" x14ac:dyDescent="0.3">
      <c r="A99">
        <v>0.29274325879364826</v>
      </c>
    </row>
    <row r="100" spans="1:1" x14ac:dyDescent="0.3">
      <c r="A100">
        <v>0.13811297235483139</v>
      </c>
    </row>
    <row r="101" spans="1:1" x14ac:dyDescent="0.3">
      <c r="A101">
        <v>0.12392576923797055</v>
      </c>
    </row>
    <row r="102" spans="1:1" x14ac:dyDescent="0.3">
      <c r="A102">
        <v>0.10973856612110972</v>
      </c>
    </row>
    <row r="103" spans="1:1" x14ac:dyDescent="0.3">
      <c r="A103">
        <v>-3.8243389548677453E-2</v>
      </c>
    </row>
    <row r="104" spans="1:1" x14ac:dyDescent="0.3">
      <c r="A104">
        <v>-5.6611678682817246E-2</v>
      </c>
    </row>
    <row r="105" spans="1:1" x14ac:dyDescent="0.3">
      <c r="A105">
        <v>-7.4979967816957038E-2</v>
      </c>
    </row>
    <row r="106" spans="1:1" x14ac:dyDescent="0.3">
      <c r="A106">
        <v>-0.39656952884699154</v>
      </c>
    </row>
    <row r="107" spans="1:1" x14ac:dyDescent="0.3">
      <c r="A107">
        <v>-0.42441348272787804</v>
      </c>
    </row>
    <row r="108" spans="1:1" x14ac:dyDescent="0.3">
      <c r="A108">
        <v>-0.4522574366087645</v>
      </c>
    </row>
    <row r="109" spans="1:1" x14ac:dyDescent="0.3">
      <c r="A109">
        <v>-0.57678320689642093</v>
      </c>
    </row>
    <row r="110" spans="1:1" x14ac:dyDescent="0.3">
      <c r="A110">
        <v>-0.60764846754001889</v>
      </c>
    </row>
    <row r="111" spans="1:1" x14ac:dyDescent="0.3">
      <c r="A111">
        <v>-0.63851372818361707</v>
      </c>
    </row>
    <row r="112" spans="1:1" x14ac:dyDescent="0.3">
      <c r="A112">
        <v>-0.63274716452723112</v>
      </c>
    </row>
    <row r="113" spans="1:1" x14ac:dyDescent="0.3">
      <c r="A113">
        <v>-0.66246768066145467</v>
      </c>
    </row>
    <row r="114" spans="1:1" x14ac:dyDescent="0.3">
      <c r="A114">
        <v>-0.69218819679567822</v>
      </c>
    </row>
    <row r="115" spans="1:1" x14ac:dyDescent="0.3">
      <c r="A115">
        <v>-0.66185872082311603</v>
      </c>
    </row>
    <row r="116" spans="1:1" x14ac:dyDescent="0.3">
      <c r="A116">
        <v>-0.68970267470400248</v>
      </c>
    </row>
    <row r="117" spans="1:1" x14ac:dyDescent="0.3">
      <c r="A117">
        <v>-0.71754662858488905</v>
      </c>
    </row>
    <row r="118" spans="1:1" x14ac:dyDescent="0.3">
      <c r="A118">
        <v>-0.66340105265235516</v>
      </c>
    </row>
    <row r="119" spans="1:1" x14ac:dyDescent="0.3">
      <c r="A119">
        <v>-0.68868283372657224</v>
      </c>
    </row>
    <row r="120" spans="1:1" x14ac:dyDescent="0.3">
      <c r="A120">
        <v>-0.71396461480078943</v>
      </c>
    </row>
    <row r="121" spans="1:1" x14ac:dyDescent="0.3">
      <c r="A121">
        <v>-0.51801465379253231</v>
      </c>
    </row>
    <row r="122" spans="1:1" x14ac:dyDescent="0.3">
      <c r="A122">
        <v>-0.5363829429266721</v>
      </c>
    </row>
    <row r="123" spans="1:1" x14ac:dyDescent="0.3">
      <c r="A123">
        <v>-0.55475123206081189</v>
      </c>
    </row>
    <row r="124" spans="1:1" x14ac:dyDescent="0.3">
      <c r="A124">
        <v>-0.14176873394270945</v>
      </c>
    </row>
    <row r="125" spans="1:1" x14ac:dyDescent="0.3">
      <c r="A125">
        <v>-0.14665731097521667</v>
      </c>
    </row>
    <row r="126" spans="1:1" x14ac:dyDescent="0.3">
      <c r="A126">
        <v>-0.15154588800772389</v>
      </c>
    </row>
    <row r="127" spans="1:1" x14ac:dyDescent="0.3">
      <c r="A127">
        <v>-2.2971533529536625E-16</v>
      </c>
    </row>
    <row r="128" spans="1:1" x14ac:dyDescent="0.3">
      <c r="A128">
        <v>-2.3737251313854513E-16</v>
      </c>
    </row>
  </sheetData>
  <sortState xmlns:xlrd2="http://schemas.microsoft.com/office/spreadsheetml/2017/richdata2" ref="A2:A21">
    <sortCondition ref="A2:A21"/>
  </sortState>
  <mergeCells count="1">
    <mergeCell ref="A64:H66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Urvish</dc:creator>
  <cp:lastModifiedBy>Urvish</cp:lastModifiedBy>
  <dcterms:created xsi:type="dcterms:W3CDTF">2020-08-25T05:30:06Z</dcterms:created>
  <dcterms:modified xsi:type="dcterms:W3CDTF">2020-08-25T13:41:44Z</dcterms:modified>
</cp:coreProperties>
</file>